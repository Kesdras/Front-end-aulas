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hidePivotFieldList="1"/>
  <mc:AlternateContent xmlns:mc="http://schemas.openxmlformats.org/markup-compatibility/2006">
    <mc:Choice Requires="x15">
      <x15ac:absPath xmlns:x15ac="http://schemas.microsoft.com/office/spreadsheetml/2010/11/ac" url="https://senacpernambuco-my.sharepoint.com/personal/ruth_xavier_pe_senac_br/Documents/Arquivos de Chat do Microsoft Teams/"/>
    </mc:Choice>
  </mc:AlternateContent>
  <xr:revisionPtr revIDLastSave="1" documentId="8_{8FB86E5F-99FA-4E5D-959E-F672A391B699}" xr6:coauthVersionLast="47" xr6:coauthVersionMax="47" xr10:uidLastSave="{0F84EDBE-E0AE-45F4-98D6-8050062FA66E}"/>
  <bookViews>
    <workbookView xWindow="14295" yWindow="0" windowWidth="14610" windowHeight="15585" tabRatio="500" firstSheet="2" xr2:uid="{00000000-000D-0000-FFFF-FFFF00000000}"/>
  </bookViews>
  <sheets>
    <sheet name="Vendas" sheetId="1" r:id="rId1"/>
    <sheet name="Produtos" sheetId="2" r:id="rId2"/>
    <sheet name="Planilha1" sheetId="3" r:id="rId3"/>
  </sheets>
  <definedNames>
    <definedName name="_xlnm._FilterDatabase" localSheetId="0" hidden="1">Vendas!$B$1:$B$64</definedName>
  </definedNames>
  <calcPr calcId="191028" iterateDelta="1E-4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9" i="1" l="1"/>
  <c r="H4" i="1"/>
  <c r="E57" i="1"/>
  <c r="L2" i="1"/>
  <c r="K2" i="1"/>
  <c r="K19" i="1"/>
  <c r="J2" i="1"/>
  <c r="E63" i="1"/>
  <c r="E62" i="1"/>
  <c r="E61" i="1"/>
  <c r="E60" i="1"/>
  <c r="E59" i="1"/>
  <c r="E56" i="1"/>
  <c r="E55" i="1"/>
  <c r="E54" i="1"/>
  <c r="J4" i="1"/>
  <c r="E58" i="1" s="1"/>
  <c r="K6" i="1"/>
  <c r="L3" i="1"/>
  <c r="L4" i="1"/>
  <c r="L5" i="1"/>
  <c r="L6" i="1"/>
  <c r="L7" i="1"/>
  <c r="L8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K3" i="1"/>
  <c r="K4" i="1"/>
  <c r="K5" i="1"/>
  <c r="K7" i="1"/>
  <c r="K8" i="1"/>
  <c r="K9" i="1"/>
  <c r="K10" i="1"/>
  <c r="K11" i="1"/>
  <c r="K12" i="1"/>
  <c r="K13" i="1"/>
  <c r="K14" i="1"/>
  <c r="K15" i="1"/>
  <c r="K16" i="1"/>
  <c r="K17" i="1"/>
  <c r="K18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J48" i="1"/>
  <c r="J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9" i="1"/>
  <c r="J50" i="1"/>
  <c r="J51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3" i="1"/>
  <c r="H2" i="1"/>
</calcChain>
</file>

<file path=xl/sharedStrings.xml><?xml version="1.0" encoding="utf-8"?>
<sst xmlns="http://schemas.openxmlformats.org/spreadsheetml/2006/main" count="423" uniqueCount="103">
  <si>
    <t>Código</t>
  </si>
  <si>
    <t>Produto</t>
  </si>
  <si>
    <t>Categoria</t>
  </si>
  <si>
    <t>Vendedor</t>
  </si>
  <si>
    <t>Mês</t>
  </si>
  <si>
    <t>Qtd Vendida</t>
  </si>
  <si>
    <t>Preço Unit. (R$)</t>
  </si>
  <si>
    <t>Total (R$)</t>
  </si>
  <si>
    <t>Meta (R$)</t>
  </si>
  <si>
    <t>Atingiu Meta?</t>
  </si>
  <si>
    <t>Fornecedor</t>
  </si>
  <si>
    <t>Descrição Completa</t>
  </si>
  <si>
    <t>P001</t>
  </si>
  <si>
    <t>Camiseta Básica</t>
  </si>
  <si>
    <t>Feminino</t>
  </si>
  <si>
    <t>Ana</t>
  </si>
  <si>
    <t>Jan</t>
  </si>
  <si>
    <t>P002</t>
  </si>
  <si>
    <t>Calça Jeans Skinny</t>
  </si>
  <si>
    <t>Bruno</t>
  </si>
  <si>
    <t>P003</t>
  </si>
  <si>
    <t>Vestido Floral</t>
  </si>
  <si>
    <t>P006</t>
  </si>
  <si>
    <t>Calça Jeans Reta</t>
  </si>
  <si>
    <t>Masculino</t>
  </si>
  <si>
    <t>Carlos</t>
  </si>
  <si>
    <t>P007</t>
  </si>
  <si>
    <t>Camisa Social</t>
  </si>
  <si>
    <t>P011</t>
  </si>
  <si>
    <t>Conjunto Infantil</t>
  </si>
  <si>
    <t>Infantil</t>
  </si>
  <si>
    <t>Diana</t>
  </si>
  <si>
    <t>P012</t>
  </si>
  <si>
    <t>Vestido Infantil</t>
  </si>
  <si>
    <t>P008</t>
  </si>
  <si>
    <t>Camiseta Polo</t>
  </si>
  <si>
    <t>P018</t>
  </si>
  <si>
    <t>Meia Kit 3 Pares</t>
  </si>
  <si>
    <t>Unissex</t>
  </si>
  <si>
    <t>P019</t>
  </si>
  <si>
    <t>Cinto de Couro</t>
  </si>
  <si>
    <t>Fev</t>
  </si>
  <si>
    <t>P004</t>
  </si>
  <si>
    <t>Blusa Manga Longa</t>
  </si>
  <si>
    <t>P005</t>
  </si>
  <si>
    <t>Saia Midi</t>
  </si>
  <si>
    <t>P009</t>
  </si>
  <si>
    <t>Bermuda Cargo</t>
  </si>
  <si>
    <t>P010</t>
  </si>
  <si>
    <t>Moletom Canguru</t>
  </si>
  <si>
    <t>P013</t>
  </si>
  <si>
    <t>Calça Legging Infantil</t>
  </si>
  <si>
    <t>P014</t>
  </si>
  <si>
    <t>Camiseta Infantil</t>
  </si>
  <si>
    <t>P015</t>
  </si>
  <si>
    <t>Jaqueta Jeans</t>
  </si>
  <si>
    <t>P017</t>
  </si>
  <si>
    <t>Pijama Adulto</t>
  </si>
  <si>
    <t>Mar</t>
  </si>
  <si>
    <t>P016</t>
  </si>
  <si>
    <t>Terno Completo</t>
  </si>
  <si>
    <t>P020</t>
  </si>
  <si>
    <t>Boné Bordado</t>
  </si>
  <si>
    <t>Abr</t>
  </si>
  <si>
    <t>Mai</t>
  </si>
  <si>
    <t>← Preencher com SE()</t>
  </si>
  <si>
    <t>← Preencher com PROCX()</t>
  </si>
  <si>
    <t>← Preencher com CONCAT()</t>
  </si>
  <si>
    <t>ÁREA DE RESUMO — Preencher com fórmulas</t>
  </si>
  <si>
    <t>Total geral arrecadado</t>
  </si>
  <si>
    <t>Soma todos os totais da coluna H</t>
  </si>
  <si>
    <t>Média de itens vendidos por linha</t>
  </si>
  <si>
    <t>Média da coluna Qtd Vendida</t>
  </si>
  <si>
    <t>Maior arrecadação individual</t>
  </si>
  <si>
    <t>Maior valor na coluna Total</t>
  </si>
  <si>
    <t>Menor arrecadação individual</t>
  </si>
  <si>
    <t>Menor valor na coluna Total</t>
  </si>
  <si>
    <t>Qtd linhas com meta atingida</t>
  </si>
  <si>
    <t>Contar quantos atingiram a meta</t>
  </si>
  <si>
    <t>Total arrecadado — Feminino</t>
  </si>
  <si>
    <t>Soma filtrada por categoria</t>
  </si>
  <si>
    <t>Total arrecadado — Masculino</t>
  </si>
  <si>
    <t>Total arrecadado — Infantil</t>
  </si>
  <si>
    <t>Total vendas — Vendedor Ana</t>
  </si>
  <si>
    <t>Soma filtrada por vendedor</t>
  </si>
  <si>
    <t>Qtd produtos vendidos em Jan</t>
  </si>
  <si>
    <t>Contar linhas do mês Janeiro</t>
  </si>
  <si>
    <t>Prazo Reposição (dias)</t>
  </si>
  <si>
    <t>Estoque Mínimo</t>
  </si>
  <si>
    <t>Ativo</t>
  </si>
  <si>
    <t>Confecções Alpha</t>
  </si>
  <si>
    <t>Sim</t>
  </si>
  <si>
    <t>Jeans &amp; Cia</t>
  </si>
  <si>
    <t>Moda Bella</t>
  </si>
  <si>
    <t>Formal Wear</t>
  </si>
  <si>
    <t>Urban Style</t>
  </si>
  <si>
    <t>Baby Fashion</t>
  </si>
  <si>
    <t>Mini Moda</t>
  </si>
  <si>
    <t>Acessórios Total</t>
  </si>
  <si>
    <t>Não</t>
  </si>
  <si>
    <t>Soma de Total (R$)</t>
  </si>
  <si>
    <t>% do Total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</si>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</sst>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 &quot;#,##0.00"/>
    <numFmt numFmtId="165" formatCode="&quot;R$&quot;\ #,##0.00"/>
  </numFmts>
  <fonts count="8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i/>
      <sz val="9"/>
      <color rgb="FFC00000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i/>
      <sz val="10"/>
      <color rgb="FF555555"/>
      <name val="Arial"/>
      <charset val="1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5C99"/>
        <bgColor rgb="FF333399"/>
      </patternFill>
    </fill>
    <fill>
      <patternFill patternType="solid">
        <fgColor rgb="FFEBF3FB"/>
        <bgColor rgb="FFF0F7FF"/>
      </patternFill>
    </fill>
    <fill>
      <patternFill patternType="solid">
        <fgColor rgb="FFFFFFFF"/>
        <bgColor rgb="FFF0F7FF"/>
      </patternFill>
    </fill>
    <fill>
      <patternFill patternType="solid">
        <fgColor rgb="FFF0F7FF"/>
        <bgColor rgb="FFEBF3FB"/>
      </patternFill>
    </fill>
    <fill>
      <patternFill patternType="solid">
        <fgColor rgb="FFFFF8DC"/>
        <bgColor rgb="FFFFFFFF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0" xfId="0" pivotButton="1"/>
    <xf numFmtId="16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165" fontId="0" fillId="6" borderId="2" xfId="0" applyNumberFormat="1" applyFill="1" applyBorder="1" applyAlignment="1">
      <alignment horizontal="center" vertical="center"/>
    </xf>
    <xf numFmtId="165" fontId="0" fillId="6" borderId="3" xfId="0" applyNumberFormat="1" applyFill="1" applyBorder="1" applyAlignment="1">
      <alignment horizontal="center" vertical="center"/>
    </xf>
    <xf numFmtId="165" fontId="0" fillId="6" borderId="4" xfId="0" applyNumberFormat="1" applyFill="1" applyBorder="1" applyAlignment="1">
      <alignment horizontal="center" vertical="center"/>
    </xf>
    <xf numFmtId="165" fontId="0" fillId="6" borderId="1" xfId="1" applyNumberFormat="1" applyFon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4">
    <dxf>
      <alignment horizontal="center"/>
    </dxf>
    <dxf>
      <alignment horizontal="center"/>
    </dxf>
    <dxf>
      <alignment vertical="center"/>
    </dxf>
    <dxf>
      <alignment horizontal="center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DC"/>
      <rgbColor rgb="FFEBF3FB"/>
      <rgbColor rgb="FF660066"/>
      <rgbColor rgb="FFFF8080"/>
      <rgbColor rgb="FF1F5C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[(GABARITO)-planilha-base-loja-atvd.xlsx]Planilha1!Tabela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Participação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Planilha1!$K$3:$K$4</c:f>
              <c:strCache>
                <c:ptCount val="1"/>
                <c:pt idx="0">
                  <c:v>Jan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41-40EB-AAD5-B0DFD9A6D4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41-40EB-AAD5-B0DFD9A6D4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41-40EB-AAD5-B0DFD9A6D4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241-40EB-AAD5-B0DFD9A6D4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Planilha1!$J$5:$J$9</c:f>
              <c:strCache>
                <c:ptCount val="4"/>
                <c:pt idx="0">
                  <c:v>Ana</c:v>
                </c:pt>
                <c:pt idx="1">
                  <c:v>Bruno</c:v>
                </c:pt>
                <c:pt idx="2">
                  <c:v>Carlos</c:v>
                </c:pt>
                <c:pt idx="3">
                  <c:v>Diana</c:v>
                </c:pt>
              </c:strCache>
            </c:strRef>
          </c:cat>
          <c:val>
            <c:numRef>
              <c:f>Planilha1!$K$5:$K$9</c:f>
              <c:numCache>
                <c:formatCode>"R$ "#,##0.00</c:formatCode>
                <c:ptCount val="4"/>
                <c:pt idx="0">
                  <c:v>4849.5</c:v>
                </c:pt>
                <c:pt idx="1">
                  <c:v>5449.8</c:v>
                </c:pt>
                <c:pt idx="2">
                  <c:v>3055.5</c:v>
                </c:pt>
                <c:pt idx="3">
                  <c:v>3493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7-48C5-B069-C21261E6BF17}"/>
            </c:ext>
          </c:extLst>
        </c:ser>
        <c:ser>
          <c:idx val="1"/>
          <c:order val="1"/>
          <c:tx>
            <c:strRef>
              <c:f>Planilha1!$L$3:$L$4</c:f>
              <c:strCache>
                <c:ptCount val="1"/>
                <c:pt idx="0">
                  <c:v>Fev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241-40EB-AAD5-B0DFD9A6D4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241-40EB-AAD5-B0DFD9A6D4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241-40EB-AAD5-B0DFD9A6D4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241-40EB-AAD5-B0DFD9A6D4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Planilha1!$J$5:$J$9</c:f>
              <c:strCache>
                <c:ptCount val="4"/>
                <c:pt idx="0">
                  <c:v>Ana</c:v>
                </c:pt>
                <c:pt idx="1">
                  <c:v>Bruno</c:v>
                </c:pt>
                <c:pt idx="2">
                  <c:v>Carlos</c:v>
                </c:pt>
                <c:pt idx="3">
                  <c:v>Diana</c:v>
                </c:pt>
              </c:strCache>
            </c:strRef>
          </c:cat>
          <c:val>
            <c:numRef>
              <c:f>Planilha1!$L$5:$L$9</c:f>
              <c:numCache>
                <c:formatCode>"R$ "#,##0.00</c:formatCode>
                <c:ptCount val="4"/>
                <c:pt idx="0">
                  <c:v>3689.2999999999997</c:v>
                </c:pt>
                <c:pt idx="1">
                  <c:v>4285.6000000000004</c:v>
                </c:pt>
                <c:pt idx="2">
                  <c:v>5670.4</c:v>
                </c:pt>
                <c:pt idx="3">
                  <c:v>2996.4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D7-48C5-B069-C21261E6BF17}"/>
            </c:ext>
          </c:extLst>
        </c:ser>
        <c:ser>
          <c:idx val="2"/>
          <c:order val="2"/>
          <c:tx>
            <c:strRef>
              <c:f>Planilha1!$M$3:$M$4</c:f>
              <c:strCache>
                <c:ptCount val="1"/>
                <c:pt idx="0">
                  <c:v>Mar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241-40EB-AAD5-B0DFD9A6D4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241-40EB-AAD5-B0DFD9A6D4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241-40EB-AAD5-B0DFD9A6D4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241-40EB-AAD5-B0DFD9A6D4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Planilha1!$J$5:$J$9</c:f>
              <c:strCache>
                <c:ptCount val="4"/>
                <c:pt idx="0">
                  <c:v>Ana</c:v>
                </c:pt>
                <c:pt idx="1">
                  <c:v>Bruno</c:v>
                </c:pt>
                <c:pt idx="2">
                  <c:v>Carlos</c:v>
                </c:pt>
                <c:pt idx="3">
                  <c:v>Diana</c:v>
                </c:pt>
              </c:strCache>
            </c:strRef>
          </c:cat>
          <c:val>
            <c:numRef>
              <c:f>Planilha1!$M$5:$M$9</c:f>
              <c:numCache>
                <c:formatCode>"R$ "#,##0.00</c:formatCode>
                <c:ptCount val="4"/>
                <c:pt idx="0">
                  <c:v>3074.5</c:v>
                </c:pt>
                <c:pt idx="1">
                  <c:v>5300.1</c:v>
                </c:pt>
                <c:pt idx="2">
                  <c:v>3349.3999999999996</c:v>
                </c:pt>
                <c:pt idx="3">
                  <c:v>7094.5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D7-48C5-B069-C21261E6BF17}"/>
            </c:ext>
          </c:extLst>
        </c:ser>
        <c:ser>
          <c:idx val="3"/>
          <c:order val="3"/>
          <c:tx>
            <c:strRef>
              <c:f>Planilha1!$N$3:$N$4</c:f>
              <c:strCache>
                <c:ptCount val="1"/>
                <c:pt idx="0">
                  <c:v>Abr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241-40EB-AAD5-B0DFD9A6D4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241-40EB-AAD5-B0DFD9A6D4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241-40EB-AAD5-B0DFD9A6D4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241-40EB-AAD5-B0DFD9A6D4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Planilha1!$J$5:$J$9</c:f>
              <c:strCache>
                <c:ptCount val="4"/>
                <c:pt idx="0">
                  <c:v>Ana</c:v>
                </c:pt>
                <c:pt idx="1">
                  <c:v>Bruno</c:v>
                </c:pt>
                <c:pt idx="2">
                  <c:v>Carlos</c:v>
                </c:pt>
                <c:pt idx="3">
                  <c:v>Diana</c:v>
                </c:pt>
              </c:strCache>
            </c:strRef>
          </c:cat>
          <c:val>
            <c:numRef>
              <c:f>Planilha1!$N$5:$N$9</c:f>
              <c:numCache>
                <c:formatCode>"R$ "#,##0.00</c:formatCode>
                <c:ptCount val="4"/>
                <c:pt idx="0">
                  <c:v>5689.7</c:v>
                </c:pt>
                <c:pt idx="1">
                  <c:v>5294.6</c:v>
                </c:pt>
                <c:pt idx="2">
                  <c:v>4281.8</c:v>
                </c:pt>
                <c:pt idx="3">
                  <c:v>3540.3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D7-48C5-B069-C21261E6BF17}"/>
            </c:ext>
          </c:extLst>
        </c:ser>
        <c:ser>
          <c:idx val="4"/>
          <c:order val="4"/>
          <c:tx>
            <c:strRef>
              <c:f>Planilha1!$O$3:$O$4</c:f>
              <c:strCache>
                <c:ptCount val="1"/>
                <c:pt idx="0">
                  <c:v>Mai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241-40EB-AAD5-B0DFD9A6D4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241-40EB-AAD5-B0DFD9A6D4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8241-40EB-AAD5-B0DFD9A6D4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8241-40EB-AAD5-B0DFD9A6D4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Planilha1!$J$5:$J$9</c:f>
              <c:strCache>
                <c:ptCount val="4"/>
                <c:pt idx="0">
                  <c:v>Ana</c:v>
                </c:pt>
                <c:pt idx="1">
                  <c:v>Bruno</c:v>
                </c:pt>
                <c:pt idx="2">
                  <c:v>Carlos</c:v>
                </c:pt>
                <c:pt idx="3">
                  <c:v>Diana</c:v>
                </c:pt>
              </c:strCache>
            </c:strRef>
          </c:cat>
          <c:val>
            <c:numRef>
              <c:f>Planilha1!$O$5:$O$9</c:f>
              <c:numCache>
                <c:formatCode>"R$ "#,##0.00</c:formatCode>
                <c:ptCount val="4"/>
                <c:pt idx="0">
                  <c:v>6238.2999999999993</c:v>
                </c:pt>
                <c:pt idx="1">
                  <c:v>3833.2000000000003</c:v>
                </c:pt>
                <c:pt idx="2">
                  <c:v>5137.5</c:v>
                </c:pt>
                <c:pt idx="3">
                  <c:v>7464.3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D7-48C5-B069-C21261E6BF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[(GABARITO)-planilha-base-loja-atvd.xlsx]Planilha1!Tabela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de Vendas – Jan a Mai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Planilha1!$A$4:$A$9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Planilha1!$B$4:$B$9</c:f>
              <c:numCache>
                <c:formatCode>"R$ "#,##0.00</c:formatCode>
                <c:ptCount val="5"/>
                <c:pt idx="0">
                  <c:v>16847.8</c:v>
                </c:pt>
                <c:pt idx="1">
                  <c:v>16641.7</c:v>
                </c:pt>
                <c:pt idx="2">
                  <c:v>18818.5</c:v>
                </c:pt>
                <c:pt idx="3">
                  <c:v>18806.400000000001</c:v>
                </c:pt>
                <c:pt idx="4">
                  <c:v>22673.3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4-42AA-BC34-C7F3CB9149E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10859528"/>
        <c:axId val="410870280"/>
      </c:lineChart>
      <c:catAx>
        <c:axId val="410859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70280"/>
        <c:crosses val="autoZero"/>
        <c:auto val="1"/>
        <c:lblAlgn val="ctr"/>
        <c:lblOffset val="100"/>
        <c:noMultiLvlLbl val="0"/>
      </c:catAx>
      <c:valAx>
        <c:axId val="41087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 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59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[(GABARITO)-planilha-base-loja-atvd.xlsx]Planilha1!Tabela Dinâmica2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6B8B7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 w="25400">
            <a:noFill/>
          </a:ln>
          <a:effectLst/>
        </c:spPr>
      </c:pivotFmt>
      <c:pivotFmt>
        <c:idx val="3"/>
        <c:spPr>
          <a:solidFill>
            <a:srgbClr val="FFC000"/>
          </a:solidFill>
          <a:ln w="25400">
            <a:noFill/>
          </a:ln>
          <a:effectLst/>
        </c:spPr>
      </c:pivotFmt>
      <c:pivotFmt>
        <c:idx val="4"/>
        <c:spPr>
          <a:solidFill>
            <a:srgbClr val="8DB4E2"/>
          </a:solidFill>
          <a:ln w="25400"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Planilha1!$G$3</c:f>
              <c:strCache>
                <c:ptCount val="1"/>
                <c:pt idx="0">
                  <c:v>Soma de Total (R$)</c:v>
                </c:pt>
              </c:strCache>
            </c:strRef>
          </c:tx>
          <c:spPr>
            <a:solidFill>
              <a:srgbClr val="E6B8B7"/>
            </a:solidFill>
            <a:ln w="25400"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8DB4E2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608-499D-9DE2-D810862EDB51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08-499D-9DE2-D810862EDB51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608-499D-9DE2-D810862EDB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Planilha1!$F$4:$F$8</c:f>
              <c:strCache>
                <c:ptCount val="4"/>
                <c:pt idx="0">
                  <c:v>Feminino</c:v>
                </c:pt>
                <c:pt idx="1">
                  <c:v>Infantil</c:v>
                </c:pt>
                <c:pt idx="2">
                  <c:v>Masculino</c:v>
                </c:pt>
                <c:pt idx="3">
                  <c:v>Unissex</c:v>
                </c:pt>
              </c:strCache>
            </c:strRef>
          </c:cat>
          <c:val>
            <c:numRef>
              <c:f>Planilha1!$G$4:$G$8</c:f>
              <c:numCache>
                <c:formatCode>"R$ "#,##0.00</c:formatCode>
                <c:ptCount val="4"/>
                <c:pt idx="0">
                  <c:v>32072.1</c:v>
                </c:pt>
                <c:pt idx="1">
                  <c:v>18345.399999999998</c:v>
                </c:pt>
                <c:pt idx="2">
                  <c:v>31676.700000000004</c:v>
                </c:pt>
                <c:pt idx="3">
                  <c:v>11693.5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A-491E-BED9-EA9BBFBE0CC4}"/>
            </c:ext>
          </c:extLst>
        </c:ser>
        <c:ser>
          <c:idx val="1"/>
          <c:order val="1"/>
          <c:tx>
            <c:strRef>
              <c:f>Planilha1!$H$3</c:f>
              <c:strCache>
                <c:ptCount val="1"/>
                <c:pt idx="0">
                  <c:v>% do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Planilha1!$F$4:$F$8</c:f>
              <c:strCache>
                <c:ptCount val="4"/>
                <c:pt idx="0">
                  <c:v>Feminino</c:v>
                </c:pt>
                <c:pt idx="1">
                  <c:v>Infantil</c:v>
                </c:pt>
                <c:pt idx="2">
                  <c:v>Masculino</c:v>
                </c:pt>
                <c:pt idx="3">
                  <c:v>Unissex</c:v>
                </c:pt>
              </c:strCache>
            </c:strRef>
          </c:cat>
          <c:val>
            <c:numRef>
              <c:f>Planilha1!$H$4:$H$8</c:f>
              <c:numCache>
                <c:formatCode>0.00%</c:formatCode>
                <c:ptCount val="4"/>
                <c:pt idx="0">
                  <c:v>0.34196488452110452</c:v>
                </c:pt>
                <c:pt idx="1">
                  <c:v>0.19560560713185199</c:v>
                </c:pt>
                <c:pt idx="2">
                  <c:v>0.33774897987689217</c:v>
                </c:pt>
                <c:pt idx="3">
                  <c:v>0.12468052847015119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4A-491E-BED9-EA9BBFBE0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801224"/>
        <c:axId val="191635976"/>
      </c:barChart>
      <c:catAx>
        <c:axId val="73801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35976"/>
        <c:crosses val="autoZero"/>
        <c:auto val="1"/>
        <c:lblAlgn val="ctr"/>
        <c:lblOffset val="100"/>
        <c:noMultiLvlLbl val="0"/>
      </c:catAx>
      <c:valAx>
        <c:axId val="19163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 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01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790575</xdr:colOff>
      <xdr:row>9</xdr:row>
      <xdr:rowOff>180975</xdr:rowOff>
    </xdr:from>
    <xdr:to>
      <xdr:col>14</xdr:col>
      <xdr:colOff>752475</xdr:colOff>
      <xdr:row>24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A8147B-B084-099A-9DF5-F57485172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25</xdr:row>
      <xdr:rowOff>47625</xdr:rowOff>
    </xdr:from>
    <xdr:to>
      <xdr:col>4</xdr:col>
      <xdr:colOff>590550</xdr:colOff>
      <xdr:row>39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7450493-F36A-B0CB-AA23-496CCD7C73DA}"/>
            </a:ext>
            <a:ext uri="{147F2762-F138-4A5C-976F-8EAC2B608ADB}">
              <a16:predDERef xmlns:a16="http://schemas.microsoft.com/office/drawing/2014/main" pred="{218A3207-ADC8-0A6D-4139-C105B98FA1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1000125</xdr:colOff>
      <xdr:row>10</xdr:row>
      <xdr:rowOff>0</xdr:rowOff>
    </xdr:from>
    <xdr:to>
      <xdr:col>9</xdr:col>
      <xdr:colOff>657225</xdr:colOff>
      <xdr:row>24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AB297BD-0B6F-C398-0250-03E8AFB090E4}"/>
            </a:ext>
            <a:ext uri="{147F2762-F138-4A5C-976F-8EAC2B608ADB}">
              <a16:predDERef xmlns:a16="http://schemas.microsoft.com/office/drawing/2014/main" pred="{67450493-F36A-B0CB-AA23-496CCD7C7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6.606145254627" createdVersion="8" refreshedVersion="8" minRefreshableVersion="3" recordCount="50" xr:uid="{06EF8770-DFE1-4474-9F5A-DEBA6EEC1BA7}">
  <cacheSource type="worksheet">
    <worksheetSource ref="A1:L51" sheet="Vendas"/>
  </cacheSource>
  <cacheFields count="12">
    <cacheField name="Código" numFmtId="0">
      <sharedItems/>
    </cacheField>
    <cacheField name="Produto" numFmtId="0">
      <sharedItems count="20">
        <s v="Camiseta Básica"/>
        <s v="Calça Jeans Skinny"/>
        <s v="Vestido Floral"/>
        <s v="Calça Jeans Reta"/>
        <s v="Camisa Social"/>
        <s v="Conjunto Infantil"/>
        <s v="Vestido Infantil"/>
        <s v="Camiseta Polo"/>
        <s v="Meia Kit 3 Pares"/>
        <s v="Cinto de Couro"/>
        <s v="Blusa Manga Longa"/>
        <s v="Saia Midi"/>
        <s v="Bermuda Cargo"/>
        <s v="Moletom Canguru"/>
        <s v="Calça Legging Infantil"/>
        <s v="Camiseta Infantil"/>
        <s v="Jaqueta Jeans"/>
        <s v="Pijama Adulto"/>
        <s v="Terno Completo"/>
        <s v="Boné Bordado"/>
      </sharedItems>
    </cacheField>
    <cacheField name="Categoria" numFmtId="0">
      <sharedItems count="4">
        <s v="Feminino"/>
        <s v="Masculino"/>
        <s v="Infantil"/>
        <s v="Unissex"/>
      </sharedItems>
    </cacheField>
    <cacheField name="Vendedor" numFmtId="0">
      <sharedItems count="4">
        <s v="Ana"/>
        <s v="Bruno"/>
        <s v="Carlos"/>
        <s v="Diana"/>
      </sharedItems>
    </cacheField>
    <cacheField name="Mês" numFmtId="0">
      <sharedItems count="5">
        <s v="Jan"/>
        <s v="Fev"/>
        <s v="Mar"/>
        <s v="Abr"/>
        <s v="Mai"/>
      </sharedItems>
    </cacheField>
    <cacheField name="Qtd Vendida" numFmtId="0">
      <sharedItems containsSemiMixedTypes="0" containsString="0" containsNumber="1" containsInteger="1" minValue="5" maxValue="80"/>
    </cacheField>
    <cacheField name="Preço Unit. (R$)" numFmtId="164">
      <sharedItems containsSemiMixedTypes="0" containsString="0" containsNumber="1" minValue="19.899999999999999" maxValue="399.9"/>
    </cacheField>
    <cacheField name="Total (R$)" numFmtId="164">
      <sharedItems containsSemiMixedTypes="0" containsString="0" containsNumber="1" minValue="748.5" maxValue="3775.8"/>
    </cacheField>
    <cacheField name="Meta (R$)" numFmtId="164">
      <sharedItems containsSemiMixedTypes="0" containsString="0" containsNumber="1" containsInteger="1" minValue="500" maxValue="3500"/>
    </cacheField>
    <cacheField name="Atingiu Meta?" numFmtId="0">
      <sharedItems/>
    </cacheField>
    <cacheField name="Fornecedor" numFmtId="0">
      <sharedItems/>
    </cacheField>
    <cacheField name="Descrição Complet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P001"/>
    <x v="0"/>
    <x v="0"/>
    <x v="0"/>
    <x v="0"/>
    <n v="45"/>
    <n v="39.9"/>
    <n v="1795.5"/>
    <n v="500"/>
    <s v="Sim"/>
    <s v="Confecções Alpha"/>
    <s v="P001 | Camiseta Básica | Feminino"/>
  </r>
  <r>
    <s v="P002"/>
    <x v="1"/>
    <x v="0"/>
    <x v="1"/>
    <x v="0"/>
    <n v="30"/>
    <n v="89.9"/>
    <n v="2697"/>
    <n v="2500"/>
    <s v="Sim"/>
    <s v="Jeans &amp; Cia"/>
    <s v="P002 | Calça Jeans Skinny | Feminino"/>
  </r>
  <r>
    <s v="P003"/>
    <x v="2"/>
    <x v="0"/>
    <x v="0"/>
    <x v="0"/>
    <n v="22"/>
    <n v="69.900000000000006"/>
    <n v="1537.8000000000002"/>
    <n v="1800"/>
    <s v="Não"/>
    <s v="Moda Bella"/>
    <s v="P003 | Vestido Floral | Feminino"/>
  </r>
  <r>
    <s v="P006"/>
    <x v="3"/>
    <x v="1"/>
    <x v="2"/>
    <x v="0"/>
    <n v="18"/>
    <n v="79.900000000000006"/>
    <n v="1438.2"/>
    <n v="1500"/>
    <s v="Não"/>
    <s v="Jeans &amp; Cia"/>
    <s v="P006 | Calça Jeans Reta | Masculino"/>
  </r>
  <r>
    <s v="P007"/>
    <x v="4"/>
    <x v="1"/>
    <x v="1"/>
    <x v="0"/>
    <n v="12"/>
    <n v="129.9"/>
    <n v="1558.8000000000002"/>
    <n v="2000"/>
    <s v="Não"/>
    <s v="Formal Wear"/>
    <s v="P007 | Camisa Social | Masculino"/>
  </r>
  <r>
    <s v="P011"/>
    <x v="5"/>
    <x v="2"/>
    <x v="3"/>
    <x v="0"/>
    <n v="55"/>
    <n v="49.9"/>
    <n v="2744.5"/>
    <n v="2500"/>
    <s v="Sim"/>
    <s v="Baby Fashion"/>
    <s v="P011 | Conjunto Infantil | Infantil"/>
  </r>
  <r>
    <s v="P012"/>
    <x v="6"/>
    <x v="2"/>
    <x v="0"/>
    <x v="0"/>
    <n v="38"/>
    <n v="39.9"/>
    <n v="1516.2"/>
    <n v="1500"/>
    <s v="Sim"/>
    <s v="Baby Fashion"/>
    <s v="P012 | Vestido Infantil | Infantil"/>
  </r>
  <r>
    <s v="P008"/>
    <x v="7"/>
    <x v="1"/>
    <x v="2"/>
    <x v="0"/>
    <n v="27"/>
    <n v="59.9"/>
    <n v="1617.3"/>
    <n v="1500"/>
    <s v="Sim"/>
    <s v="Confecções Alpha"/>
    <s v="P008 | Camiseta Polo | Masculino"/>
  </r>
  <r>
    <s v="P018"/>
    <x v="8"/>
    <x v="3"/>
    <x v="1"/>
    <x v="0"/>
    <n v="60"/>
    <n v="19.899999999999999"/>
    <n v="1194"/>
    <n v="800"/>
    <s v="Sim"/>
    <s v="Acessórios Total"/>
    <s v="P018 | Meia Kit 3 Pares | Unissex"/>
  </r>
  <r>
    <s v="P019"/>
    <x v="9"/>
    <x v="3"/>
    <x v="3"/>
    <x v="0"/>
    <n v="15"/>
    <n v="49.9"/>
    <n v="748.5"/>
    <n v="600"/>
    <s v="Sim"/>
    <s v="Acessórios Total"/>
    <s v="P019 | Cinto de Couro | Unissex"/>
  </r>
  <r>
    <s v="P001"/>
    <x v="0"/>
    <x v="0"/>
    <x v="2"/>
    <x v="1"/>
    <n v="52"/>
    <n v="39.9"/>
    <n v="2074.7999999999997"/>
    <n v="1800"/>
    <s v="Sim"/>
    <s v="Confecções Alpha"/>
    <s v="P001 | Camiseta Básica | Feminino"/>
  </r>
  <r>
    <s v="P004"/>
    <x v="10"/>
    <x v="0"/>
    <x v="0"/>
    <x v="1"/>
    <n v="28"/>
    <n v="55.9"/>
    <n v="1565.2"/>
    <n v="1500"/>
    <s v="Sim"/>
    <s v="Confecções Alpha"/>
    <s v="P004 | Blusa Manga Longa | Feminino"/>
  </r>
  <r>
    <s v="P005"/>
    <x v="11"/>
    <x v="0"/>
    <x v="3"/>
    <x v="1"/>
    <n v="19"/>
    <n v="69.900000000000006"/>
    <n v="1328.1000000000001"/>
    <n v="1200"/>
    <s v="Sim"/>
    <s v="Moda Bella"/>
    <s v="P005 | Saia Midi | Feminino"/>
  </r>
  <r>
    <s v="P009"/>
    <x v="12"/>
    <x v="1"/>
    <x v="1"/>
    <x v="1"/>
    <n v="33"/>
    <n v="79.900000000000006"/>
    <n v="2636.7000000000003"/>
    <n v="2000"/>
    <s v="Sim"/>
    <s v="Urban Style"/>
    <s v="P009 | Bermuda Cargo | Masculino"/>
  </r>
  <r>
    <s v="P010"/>
    <x v="13"/>
    <x v="1"/>
    <x v="2"/>
    <x v="1"/>
    <n v="24"/>
    <n v="99.9"/>
    <n v="2397.6000000000004"/>
    <n v="2500"/>
    <s v="Não"/>
    <s v="Urban Style"/>
    <s v="P010 | Moletom Canguru | Masculino"/>
  </r>
  <r>
    <s v="P013"/>
    <x v="14"/>
    <x v="2"/>
    <x v="0"/>
    <x v="1"/>
    <n v="41"/>
    <n v="29.9"/>
    <n v="1225.8999999999999"/>
    <n v="1000"/>
    <s v="Sim"/>
    <s v="Mini Moda"/>
    <s v="P013 | Calça Legging Infantil | Infantil"/>
  </r>
  <r>
    <s v="P014"/>
    <x v="15"/>
    <x v="2"/>
    <x v="3"/>
    <x v="1"/>
    <n v="67"/>
    <n v="24.9"/>
    <n v="1668.3"/>
    <n v="1500"/>
    <s v="Sim"/>
    <s v="Mini Moda"/>
    <s v="P014 | Camiseta Infantil | Infantil"/>
  </r>
  <r>
    <s v="P015"/>
    <x v="16"/>
    <x v="0"/>
    <x v="1"/>
    <x v="1"/>
    <n v="11"/>
    <n v="149.9"/>
    <n v="1648.9"/>
    <n v="1500"/>
    <s v="Sim"/>
    <s v="Jeans &amp; Cia"/>
    <s v="P015 | Jaqueta Jeans | Feminino"/>
  </r>
  <r>
    <s v="P017"/>
    <x v="17"/>
    <x v="3"/>
    <x v="2"/>
    <x v="1"/>
    <n v="20"/>
    <n v="59.9"/>
    <n v="1198"/>
    <n v="1200"/>
    <s v="Não"/>
    <s v="Confecções Alpha"/>
    <s v="P017 | Pijama Adulto | Unissex"/>
  </r>
  <r>
    <s v="P019"/>
    <x v="9"/>
    <x v="3"/>
    <x v="0"/>
    <x v="1"/>
    <n v="18"/>
    <n v="49.9"/>
    <n v="898.19999999999993"/>
    <n v="800"/>
    <s v="Sim"/>
    <s v="Acessórios Total"/>
    <s v="P019 | Cinto de Couro | Unissex"/>
  </r>
  <r>
    <s v="P002"/>
    <x v="1"/>
    <x v="0"/>
    <x v="3"/>
    <x v="2"/>
    <n v="35"/>
    <n v="89.9"/>
    <n v="3146.5"/>
    <n v="3000"/>
    <s v="Sim"/>
    <s v="Jeans &amp; Cia"/>
    <s v="P002 | Calça Jeans Skinny | Feminino"/>
  </r>
  <r>
    <s v="P003"/>
    <x v="2"/>
    <x v="0"/>
    <x v="1"/>
    <x v="2"/>
    <n v="29"/>
    <n v="69.900000000000006"/>
    <n v="2027.1000000000001"/>
    <n v="2000"/>
    <s v="Sim"/>
    <s v="Moda Bella"/>
    <s v="P003 | Vestido Floral | Feminino"/>
  </r>
  <r>
    <s v="P006"/>
    <x v="3"/>
    <x v="1"/>
    <x v="0"/>
    <x v="2"/>
    <n v="22"/>
    <n v="79.900000000000006"/>
    <n v="1757.8000000000002"/>
    <n v="1800"/>
    <s v="Não"/>
    <s v="Jeans &amp; Cia"/>
    <s v="P006 | Calça Jeans Reta | Masculino"/>
  </r>
  <r>
    <s v="P007"/>
    <x v="4"/>
    <x v="1"/>
    <x v="3"/>
    <x v="2"/>
    <n v="15"/>
    <n v="129.9"/>
    <n v="1948.5"/>
    <n v="2000"/>
    <s v="Não"/>
    <s v="Formal Wear"/>
    <s v="P007 | Camisa Social | Masculino"/>
  </r>
  <r>
    <s v="P008"/>
    <x v="7"/>
    <x v="1"/>
    <x v="2"/>
    <x v="2"/>
    <n v="31"/>
    <n v="59.9"/>
    <n v="1856.8999999999999"/>
    <n v="1800"/>
    <s v="Sim"/>
    <s v="Confecções Alpha"/>
    <s v="P008 | Camiseta Polo | Masculino"/>
  </r>
  <r>
    <s v="P011"/>
    <x v="5"/>
    <x v="2"/>
    <x v="1"/>
    <x v="2"/>
    <n v="48"/>
    <n v="49.9"/>
    <n v="2395.1999999999998"/>
    <n v="2200"/>
    <s v="Sim"/>
    <s v="Baby Fashion"/>
    <s v="P011 | Conjunto Infantil | Infantil"/>
  </r>
  <r>
    <s v="P012"/>
    <x v="6"/>
    <x v="2"/>
    <x v="0"/>
    <x v="2"/>
    <n v="33"/>
    <n v="39.9"/>
    <n v="1316.7"/>
    <n v="1300"/>
    <s v="Sim"/>
    <s v="Baby Fashion"/>
    <s v="P012 | Vestido Infantil | Infantil"/>
  </r>
  <r>
    <s v="P016"/>
    <x v="18"/>
    <x v="1"/>
    <x v="3"/>
    <x v="2"/>
    <n v="5"/>
    <n v="399.9"/>
    <n v="1999.5"/>
    <n v="2000"/>
    <s v="Não"/>
    <s v="Formal Wear"/>
    <s v="P016 | Terno Completo | Masculino"/>
  </r>
  <r>
    <s v="P018"/>
    <x v="8"/>
    <x v="3"/>
    <x v="2"/>
    <x v="2"/>
    <n v="75"/>
    <n v="19.899999999999999"/>
    <n v="1492.5"/>
    <n v="1200"/>
    <s v="Sim"/>
    <s v="Acessórios Total"/>
    <s v="P018 | Meia Kit 3 Pares | Unissex"/>
  </r>
  <r>
    <s v="P020"/>
    <x v="19"/>
    <x v="3"/>
    <x v="1"/>
    <x v="2"/>
    <n v="22"/>
    <n v="39.9"/>
    <n v="877.8"/>
    <n v="800"/>
    <s v="Sim"/>
    <s v="Urban Style"/>
    <s v="P020 | Boné Bordado | Unissex"/>
  </r>
  <r>
    <s v="P001"/>
    <x v="0"/>
    <x v="0"/>
    <x v="0"/>
    <x v="3"/>
    <n v="60"/>
    <n v="39.9"/>
    <n v="2394"/>
    <n v="2000"/>
    <s v="Sim"/>
    <s v="Confecções Alpha"/>
    <s v="P001 | Camiseta Básica | Feminino"/>
  </r>
  <r>
    <s v="P004"/>
    <x v="10"/>
    <x v="0"/>
    <x v="2"/>
    <x v="3"/>
    <n v="32"/>
    <n v="55.9"/>
    <n v="1788.8"/>
    <n v="1800"/>
    <s v="Não"/>
    <s v="Confecções Alpha"/>
    <s v="P004 | Blusa Manga Longa | Feminino"/>
  </r>
  <r>
    <s v="P005"/>
    <x v="11"/>
    <x v="0"/>
    <x v="3"/>
    <x v="3"/>
    <n v="25"/>
    <n v="69.900000000000006"/>
    <n v="1747.5000000000002"/>
    <n v="1500"/>
    <s v="Sim"/>
    <s v="Moda Bella"/>
    <s v="P005 | Saia Midi | Feminino"/>
  </r>
  <r>
    <s v="P009"/>
    <x v="12"/>
    <x v="1"/>
    <x v="1"/>
    <x v="3"/>
    <n v="40"/>
    <n v="79.900000000000006"/>
    <n v="3196"/>
    <n v="3000"/>
    <s v="Sim"/>
    <s v="Urban Style"/>
    <s v="P009 | Bermuda Cargo | Masculino"/>
  </r>
  <r>
    <s v="P010"/>
    <x v="13"/>
    <x v="1"/>
    <x v="0"/>
    <x v="3"/>
    <n v="18"/>
    <n v="99.9"/>
    <n v="1798.2"/>
    <n v="1800"/>
    <s v="Não"/>
    <s v="Urban Style"/>
    <s v="P010 | Moletom Canguru | Masculino"/>
  </r>
  <r>
    <s v="P013"/>
    <x v="14"/>
    <x v="2"/>
    <x v="2"/>
    <x v="3"/>
    <n v="50"/>
    <n v="29.9"/>
    <n v="1495"/>
    <n v="1200"/>
    <s v="Sim"/>
    <s v="Mini Moda"/>
    <s v="P013 | Calça Legging Infantil | Infantil"/>
  </r>
  <r>
    <s v="P014"/>
    <x v="15"/>
    <x v="2"/>
    <x v="3"/>
    <x v="3"/>
    <n v="72"/>
    <n v="24.9"/>
    <n v="1792.8"/>
    <n v="1800"/>
    <s v="Não"/>
    <s v="Mini Moda"/>
    <s v="P014 | Camiseta Infantil | Infantil"/>
  </r>
  <r>
    <s v="P015"/>
    <x v="16"/>
    <x v="0"/>
    <x v="1"/>
    <x v="3"/>
    <n v="14"/>
    <n v="149.9"/>
    <n v="2098.6"/>
    <n v="2000"/>
    <s v="Sim"/>
    <s v="Jeans &amp; Cia"/>
    <s v="P015 | Jaqueta Jeans | Feminino"/>
  </r>
  <r>
    <s v="P017"/>
    <x v="17"/>
    <x v="3"/>
    <x v="0"/>
    <x v="3"/>
    <n v="25"/>
    <n v="59.9"/>
    <n v="1497.5"/>
    <n v="1500"/>
    <s v="Não"/>
    <s v="Confecções Alpha"/>
    <s v="P017 | Pijama Adulto | Unissex"/>
  </r>
  <r>
    <s v="P019"/>
    <x v="9"/>
    <x v="3"/>
    <x v="2"/>
    <x v="3"/>
    <n v="20"/>
    <n v="49.9"/>
    <n v="998"/>
    <n v="900"/>
    <s v="Sim"/>
    <s v="Acessórios Total"/>
    <s v="P019 | Cinto de Couro | Unissex"/>
  </r>
  <r>
    <s v="P002"/>
    <x v="1"/>
    <x v="0"/>
    <x v="3"/>
    <x v="4"/>
    <n v="42"/>
    <n v="89.9"/>
    <n v="3775.8"/>
    <n v="3500"/>
    <s v="Sim"/>
    <s v="Jeans &amp; Cia"/>
    <s v="P002 | Calça Jeans Skinny | Feminino"/>
  </r>
  <r>
    <s v="P003"/>
    <x v="2"/>
    <x v="0"/>
    <x v="0"/>
    <x v="4"/>
    <n v="35"/>
    <n v="69.900000000000006"/>
    <n v="2446.5"/>
    <n v="2500"/>
    <s v="Não"/>
    <s v="Moda Bella"/>
    <s v="P003 | Vestido Floral | Feminino"/>
  </r>
  <r>
    <s v="P006"/>
    <x v="3"/>
    <x v="1"/>
    <x v="1"/>
    <x v="4"/>
    <n v="28"/>
    <n v="79.900000000000006"/>
    <n v="2237.2000000000003"/>
    <n v="2000"/>
    <s v="Sim"/>
    <s v="Jeans &amp; Cia"/>
    <s v="P006 | Calça Jeans Reta | Masculino"/>
  </r>
  <r>
    <s v="P007"/>
    <x v="4"/>
    <x v="1"/>
    <x v="2"/>
    <x v="4"/>
    <n v="18"/>
    <n v="129.9"/>
    <n v="2338.2000000000003"/>
    <n v="2500"/>
    <s v="Não"/>
    <s v="Formal Wear"/>
    <s v="P007 | Camisa Social | Masculino"/>
  </r>
  <r>
    <s v="P008"/>
    <x v="7"/>
    <x v="1"/>
    <x v="3"/>
    <x v="4"/>
    <n v="35"/>
    <n v="59.9"/>
    <n v="2096.5"/>
    <n v="2000"/>
    <s v="Sim"/>
    <s v="Confecções Alpha"/>
    <s v="P008 | Camiseta Polo | Masculino"/>
  </r>
  <r>
    <s v="P011"/>
    <x v="5"/>
    <x v="2"/>
    <x v="0"/>
    <x v="4"/>
    <n v="52"/>
    <n v="49.9"/>
    <n v="2594.7999999999997"/>
    <n v="2500"/>
    <s v="Sim"/>
    <s v="Baby Fashion"/>
    <s v="P011 | Conjunto Infantil | Infantil"/>
  </r>
  <r>
    <s v="P012"/>
    <x v="6"/>
    <x v="2"/>
    <x v="1"/>
    <x v="4"/>
    <n v="40"/>
    <n v="39.9"/>
    <n v="1596"/>
    <n v="1500"/>
    <s v="Sim"/>
    <s v="Baby Fashion"/>
    <s v="P012 | Vestido Infantil | Infantil"/>
  </r>
  <r>
    <s v="P016"/>
    <x v="18"/>
    <x v="1"/>
    <x v="2"/>
    <x v="4"/>
    <n v="7"/>
    <n v="399.9"/>
    <n v="2799.2999999999997"/>
    <n v="2800"/>
    <s v="Não"/>
    <s v="Formal Wear"/>
    <s v="P016 | Terno Completo | Masculino"/>
  </r>
  <r>
    <s v="P018"/>
    <x v="8"/>
    <x v="3"/>
    <x v="3"/>
    <x v="4"/>
    <n v="80"/>
    <n v="19.899999999999999"/>
    <n v="1592"/>
    <n v="1500"/>
    <s v="Sim"/>
    <s v="Acessórios Total"/>
    <s v="P018 | Meia Kit 3 Pares | Unissex"/>
  </r>
  <r>
    <s v="P020"/>
    <x v="19"/>
    <x v="3"/>
    <x v="0"/>
    <x v="4"/>
    <n v="30"/>
    <n v="39.9"/>
    <n v="1197"/>
    <n v="1000"/>
    <s v="Sim"/>
    <s v="Urban Style"/>
    <s v="P020 | Boné Bordado | Unissex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DFA5D-E09E-4592-B17F-1954F5FECF40}" name="Tabela Dinâ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J3:P9" firstHeaderRow="1" firstDataRow="2" firstDataCol="1"/>
  <pivotFields count="12"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Total (R$)" fld="7" baseField="0" baseItem="0" numFmtId="164"/>
  </dataFields>
  <chartFormats count="2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4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90280-61C1-47BD-8625-402CF2D1E0C6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F3:H8" firstHeaderRow="0" firstDataRow="1" firstDataCol="1"/>
  <pivotFields count="12"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 (R$)" fld="7" baseField="0" baseItem="0" numFmtId="164"/>
    <dataField name="% do Total" fld="7" showDataAs="percentOfTotal" baseField="0" baseItem="0" numFmtId="10"/>
  </dataFields>
  <formats count="4"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field="2" type="button" dataOnly="0" labelOnly="1" outline="0" axis="axisRow" fieldPosition="0"/>
    </format>
    <format dxfId="3">
      <pivotArea field="2" type="button" dataOnly="0" labelOnly="1" outline="0" axis="axisRow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82950-E331-4DDC-A9AF-6D28EDE3C3C3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B9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Total (R$)" fld="7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topLeftCell="H1" zoomScale="130" zoomScaleNormal="130" workbookViewId="0">
      <pane ySplit="1" topLeftCell="A7" activePane="bottomLeft" state="frozen"/>
      <selection pane="bottomLeft" activeCell="L9" sqref="L9"/>
    </sheetView>
  </sheetViews>
  <sheetFormatPr defaultColWidth="8.7109375" defaultRowHeight="15"/>
  <cols>
    <col min="1" max="1" width="10" customWidth="1"/>
    <col min="2" max="2" width="25" customWidth="1"/>
    <col min="3" max="3" width="15" customWidth="1"/>
    <col min="4" max="4" width="12" customWidth="1"/>
    <col min="5" max="5" width="8" customWidth="1"/>
    <col min="6" max="6" width="12" customWidth="1"/>
    <col min="7" max="7" width="18" customWidth="1"/>
    <col min="8" max="9" width="15" customWidth="1"/>
    <col min="10" max="10" width="14" customWidth="1"/>
    <col min="11" max="11" width="22" customWidth="1"/>
    <col min="12" max="12" width="33.140625" bestFit="1" customWidth="1"/>
  </cols>
  <sheetData>
    <row r="1" spans="1:12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2" t="s">
        <v>14</v>
      </c>
      <c r="D2" s="2" t="s">
        <v>15</v>
      </c>
      <c r="E2" s="2" t="s">
        <v>16</v>
      </c>
      <c r="F2" s="2">
        <v>45</v>
      </c>
      <c r="G2" s="4">
        <v>39.9</v>
      </c>
      <c r="H2" s="4">
        <f t="shared" ref="H2:H33" si="0">F2*G2</f>
        <v>1795.5</v>
      </c>
      <c r="I2" s="4">
        <v>500</v>
      </c>
      <c r="J2" s="2" t="str">
        <f>IF(H2&gt;=I2,"Sim","Não")</f>
        <v>Sim</v>
      </c>
      <c r="K2" s="2" t="str">
        <f>_xlfn.XLOOKUP(A2,Produtos!A:A,Produtos!D:D,"Não encontrado")</f>
        <v>Confecções Alpha</v>
      </c>
      <c r="L2" s="3" t="str">
        <f>_xlfn.CONCAT(A2," | ",B2," | ",C2)</f>
        <v>P001 | Camiseta Básica | Feminino</v>
      </c>
    </row>
    <row r="3" spans="1:12">
      <c r="A3" s="5" t="s">
        <v>17</v>
      </c>
      <c r="B3" s="6" t="s">
        <v>18</v>
      </c>
      <c r="C3" s="5" t="s">
        <v>14</v>
      </c>
      <c r="D3" s="5" t="s">
        <v>19</v>
      </c>
      <c r="E3" s="5" t="s">
        <v>16</v>
      </c>
      <c r="F3" s="5">
        <v>30</v>
      </c>
      <c r="G3" s="7">
        <v>89.9</v>
      </c>
      <c r="H3" s="7">
        <f t="shared" si="0"/>
        <v>2697</v>
      </c>
      <c r="I3" s="7">
        <v>2500</v>
      </c>
      <c r="J3" s="2" t="str">
        <f t="shared" ref="J3:J51" si="1">IF(H3&gt;=I3,"Sim","Não")</f>
        <v>Sim</v>
      </c>
      <c r="K3" s="2" t="str">
        <f>_xlfn.XLOOKUP(A3,Produtos!A:A,Produtos!D:D,"Não encontrado")</f>
        <v>Jeans &amp; Cia</v>
      </c>
      <c r="L3" s="3" t="str">
        <f t="shared" ref="L3:L51" si="2">_xlfn.CONCAT(A3," | ",B3," | ",C3)</f>
        <v>P002 | Calça Jeans Skinny | Feminino</v>
      </c>
    </row>
    <row r="4" spans="1:12">
      <c r="A4" s="2" t="s">
        <v>20</v>
      </c>
      <c r="B4" s="3" t="s">
        <v>21</v>
      </c>
      <c r="C4" s="2" t="s">
        <v>14</v>
      </c>
      <c r="D4" s="2" t="s">
        <v>15</v>
      </c>
      <c r="E4" s="2" t="s">
        <v>16</v>
      </c>
      <c r="F4" s="2">
        <v>22</v>
      </c>
      <c r="G4" s="4">
        <v>69.900000000000006</v>
      </c>
      <c r="H4" s="4">
        <f>F4*G4</f>
        <v>1537.8000000000002</v>
      </c>
      <c r="I4" s="4">
        <v>1800</v>
      </c>
      <c r="J4" s="2" t="str">
        <f>IF(H4&gt;=I4,"Sim","Não")</f>
        <v>Não</v>
      </c>
      <c r="K4" s="2" t="str">
        <f>_xlfn.XLOOKUP(A4,Produtos!A:A,Produtos!D:D,"Não encontrado")</f>
        <v>Moda Bella</v>
      </c>
      <c r="L4" s="3" t="str">
        <f t="shared" si="2"/>
        <v>P003 | Vestido Floral | Feminino</v>
      </c>
    </row>
    <row r="5" spans="1:12">
      <c r="A5" s="5" t="s">
        <v>22</v>
      </c>
      <c r="B5" s="6" t="s">
        <v>23</v>
      </c>
      <c r="C5" s="5" t="s">
        <v>24</v>
      </c>
      <c r="D5" s="5" t="s">
        <v>25</v>
      </c>
      <c r="E5" s="5" t="s">
        <v>16</v>
      </c>
      <c r="F5" s="5">
        <v>18</v>
      </c>
      <c r="G5" s="7">
        <v>79.900000000000006</v>
      </c>
      <c r="H5" s="7">
        <f t="shared" si="0"/>
        <v>1438.2</v>
      </c>
      <c r="I5" s="7">
        <v>1500</v>
      </c>
      <c r="J5" s="2" t="str">
        <f t="shared" si="1"/>
        <v>Não</v>
      </c>
      <c r="K5" s="2" t="str">
        <f>_xlfn.XLOOKUP(A5,Produtos!A:A,Produtos!D:D,"Não encontrado")</f>
        <v>Jeans &amp; Cia</v>
      </c>
      <c r="L5" s="3" t="str">
        <f t="shared" si="2"/>
        <v>P006 | Calça Jeans Reta | Masculino</v>
      </c>
    </row>
    <row r="6" spans="1:12">
      <c r="A6" s="2" t="s">
        <v>26</v>
      </c>
      <c r="B6" s="3" t="s">
        <v>27</v>
      </c>
      <c r="C6" s="2" t="s">
        <v>24</v>
      </c>
      <c r="D6" s="2" t="s">
        <v>19</v>
      </c>
      <c r="E6" s="2" t="s">
        <v>16</v>
      </c>
      <c r="F6" s="2">
        <v>12</v>
      </c>
      <c r="G6" s="4">
        <v>129.9</v>
      </c>
      <c r="H6" s="4">
        <f t="shared" si="0"/>
        <v>1558.8000000000002</v>
      </c>
      <c r="I6" s="4">
        <v>2000</v>
      </c>
      <c r="J6" s="2" t="str">
        <f t="shared" si="1"/>
        <v>Não</v>
      </c>
      <c r="K6" s="2" t="str">
        <f>_xlfn.XLOOKUP(A6,Produtos!A:A,Produtos!D:D,"Não encontrado")</f>
        <v>Formal Wear</v>
      </c>
      <c r="L6" s="3" t="str">
        <f t="shared" si="2"/>
        <v>P007 | Camisa Social | Masculino</v>
      </c>
    </row>
    <row r="7" spans="1:12">
      <c r="A7" s="5" t="s">
        <v>28</v>
      </c>
      <c r="B7" s="6" t="s">
        <v>29</v>
      </c>
      <c r="C7" s="5" t="s">
        <v>30</v>
      </c>
      <c r="D7" s="5" t="s">
        <v>31</v>
      </c>
      <c r="E7" s="5" t="s">
        <v>16</v>
      </c>
      <c r="F7" s="5">
        <v>55</v>
      </c>
      <c r="G7" s="7">
        <v>49.9</v>
      </c>
      <c r="H7" s="7">
        <f t="shared" si="0"/>
        <v>2744.5</v>
      </c>
      <c r="I7" s="7">
        <v>2500</v>
      </c>
      <c r="J7" s="2" t="str">
        <f t="shared" si="1"/>
        <v>Sim</v>
      </c>
      <c r="K7" s="2" t="str">
        <f>_xlfn.XLOOKUP(A7,Produtos!A:A,Produtos!D:D,"Não encontrado")</f>
        <v>Baby Fashion</v>
      </c>
      <c r="L7" s="3" t="str">
        <f t="shared" si="2"/>
        <v>P011 | Conjunto Infantil | Infantil</v>
      </c>
    </row>
    <row r="8" spans="1:12">
      <c r="A8" s="2" t="s">
        <v>32</v>
      </c>
      <c r="B8" s="3" t="s">
        <v>33</v>
      </c>
      <c r="C8" s="2" t="s">
        <v>30</v>
      </c>
      <c r="D8" s="2" t="s">
        <v>15</v>
      </c>
      <c r="E8" s="2" t="s">
        <v>16</v>
      </c>
      <c r="F8" s="2">
        <v>38</v>
      </c>
      <c r="G8" s="4">
        <v>39.9</v>
      </c>
      <c r="H8" s="4">
        <f t="shared" si="0"/>
        <v>1516.2</v>
      </c>
      <c r="I8" s="4">
        <v>1500</v>
      </c>
      <c r="J8" s="2" t="str">
        <f t="shared" si="1"/>
        <v>Sim</v>
      </c>
      <c r="K8" s="2" t="str">
        <f>_xlfn.XLOOKUP(A8,Produtos!A:A,Produtos!D:D,"Não encontrado")</f>
        <v>Baby Fashion</v>
      </c>
      <c r="L8" s="3" t="str">
        <f t="shared" si="2"/>
        <v>P012 | Vestido Infantil | Infantil</v>
      </c>
    </row>
    <row r="9" spans="1:12">
      <c r="A9" s="5" t="s">
        <v>34</v>
      </c>
      <c r="B9" s="6" t="s">
        <v>35</v>
      </c>
      <c r="C9" s="5" t="s">
        <v>24</v>
      </c>
      <c r="D9" s="5" t="s">
        <v>25</v>
      </c>
      <c r="E9" s="5" t="s">
        <v>16</v>
      </c>
      <c r="F9" s="5">
        <v>27</v>
      </c>
      <c r="G9" s="7">
        <v>59.9</v>
      </c>
      <c r="H9" s="7">
        <f t="shared" si="0"/>
        <v>1617.3</v>
      </c>
      <c r="I9" s="7">
        <v>1500</v>
      </c>
      <c r="J9" s="2" t="str">
        <f t="shared" si="1"/>
        <v>Sim</v>
      </c>
      <c r="K9" s="2" t="str">
        <f>_xlfn.XLOOKUP(A9,Produtos!A:A,Produtos!D:D,"Não encontrado")</f>
        <v>Confecções Alpha</v>
      </c>
      <c r="L9" s="3" t="str">
        <f>_xlfn.CONCAT(A9," | ",B9," | ",C9)</f>
        <v>P008 | Camiseta Polo | Masculino</v>
      </c>
    </row>
    <row r="10" spans="1:12">
      <c r="A10" s="2" t="s">
        <v>36</v>
      </c>
      <c r="B10" s="3" t="s">
        <v>37</v>
      </c>
      <c r="C10" s="2" t="s">
        <v>38</v>
      </c>
      <c r="D10" s="2" t="s">
        <v>19</v>
      </c>
      <c r="E10" s="2" t="s">
        <v>16</v>
      </c>
      <c r="F10" s="2">
        <v>60</v>
      </c>
      <c r="G10" s="4">
        <v>19.899999999999999</v>
      </c>
      <c r="H10" s="4">
        <f t="shared" si="0"/>
        <v>1194</v>
      </c>
      <c r="I10" s="4">
        <v>800</v>
      </c>
      <c r="J10" s="2" t="str">
        <f t="shared" si="1"/>
        <v>Sim</v>
      </c>
      <c r="K10" s="2" t="str">
        <f>_xlfn.XLOOKUP(A10,Produtos!A:A,Produtos!D:D,"Não encontrado")</f>
        <v>Acessórios Total</v>
      </c>
      <c r="L10" s="3" t="str">
        <f t="shared" si="2"/>
        <v>P018 | Meia Kit 3 Pares | Unissex</v>
      </c>
    </row>
    <row r="11" spans="1:12">
      <c r="A11" s="5" t="s">
        <v>39</v>
      </c>
      <c r="B11" s="6" t="s">
        <v>40</v>
      </c>
      <c r="C11" s="5" t="s">
        <v>38</v>
      </c>
      <c r="D11" s="5" t="s">
        <v>31</v>
      </c>
      <c r="E11" s="5" t="s">
        <v>16</v>
      </c>
      <c r="F11" s="5">
        <v>15</v>
      </c>
      <c r="G11" s="7">
        <v>49.9</v>
      </c>
      <c r="H11" s="7">
        <f t="shared" si="0"/>
        <v>748.5</v>
      </c>
      <c r="I11" s="7">
        <v>600</v>
      </c>
      <c r="J11" s="2" t="str">
        <f t="shared" si="1"/>
        <v>Sim</v>
      </c>
      <c r="K11" s="2" t="str">
        <f>_xlfn.XLOOKUP(A11,Produtos!A:A,Produtos!D:D,"Não encontrado")</f>
        <v>Acessórios Total</v>
      </c>
      <c r="L11" s="3" t="str">
        <f t="shared" si="2"/>
        <v>P019 | Cinto de Couro | Unissex</v>
      </c>
    </row>
    <row r="12" spans="1:12">
      <c r="A12" s="2" t="s">
        <v>12</v>
      </c>
      <c r="B12" s="3" t="s">
        <v>13</v>
      </c>
      <c r="C12" s="2" t="s">
        <v>14</v>
      </c>
      <c r="D12" s="2" t="s">
        <v>25</v>
      </c>
      <c r="E12" s="2" t="s">
        <v>41</v>
      </c>
      <c r="F12" s="2">
        <v>52</v>
      </c>
      <c r="G12" s="4">
        <v>39.9</v>
      </c>
      <c r="H12" s="4">
        <f t="shared" si="0"/>
        <v>2074.7999999999997</v>
      </c>
      <c r="I12" s="4">
        <v>1800</v>
      </c>
      <c r="J12" s="2" t="str">
        <f t="shared" si="1"/>
        <v>Sim</v>
      </c>
      <c r="K12" s="2" t="str">
        <f>_xlfn.XLOOKUP(A12,Produtos!A:A,Produtos!D:D,"Não encontrado")</f>
        <v>Confecções Alpha</v>
      </c>
      <c r="L12" s="3" t="str">
        <f t="shared" si="2"/>
        <v>P001 | Camiseta Básica | Feminino</v>
      </c>
    </row>
    <row r="13" spans="1:12">
      <c r="A13" s="5" t="s">
        <v>42</v>
      </c>
      <c r="B13" s="6" t="s">
        <v>43</v>
      </c>
      <c r="C13" s="5" t="s">
        <v>14</v>
      </c>
      <c r="D13" s="5" t="s">
        <v>15</v>
      </c>
      <c r="E13" s="5" t="s">
        <v>41</v>
      </c>
      <c r="F13" s="5">
        <v>28</v>
      </c>
      <c r="G13" s="7">
        <v>55.9</v>
      </c>
      <c r="H13" s="7">
        <f t="shared" si="0"/>
        <v>1565.2</v>
      </c>
      <c r="I13" s="7">
        <v>1500</v>
      </c>
      <c r="J13" s="2" t="str">
        <f t="shared" si="1"/>
        <v>Sim</v>
      </c>
      <c r="K13" s="2" t="str">
        <f>_xlfn.XLOOKUP(A13,Produtos!A:A,Produtos!D:D,"Não encontrado")</f>
        <v>Confecções Alpha</v>
      </c>
      <c r="L13" s="3" t="str">
        <f t="shared" si="2"/>
        <v>P004 | Blusa Manga Longa | Feminino</v>
      </c>
    </row>
    <row r="14" spans="1:12">
      <c r="A14" s="2" t="s">
        <v>44</v>
      </c>
      <c r="B14" s="3" t="s">
        <v>45</v>
      </c>
      <c r="C14" s="2" t="s">
        <v>14</v>
      </c>
      <c r="D14" s="2" t="s">
        <v>31</v>
      </c>
      <c r="E14" s="2" t="s">
        <v>41</v>
      </c>
      <c r="F14" s="2">
        <v>19</v>
      </c>
      <c r="G14" s="4">
        <v>69.900000000000006</v>
      </c>
      <c r="H14" s="4">
        <f t="shared" si="0"/>
        <v>1328.1000000000001</v>
      </c>
      <c r="I14" s="4">
        <v>1200</v>
      </c>
      <c r="J14" s="2" t="str">
        <f t="shared" si="1"/>
        <v>Sim</v>
      </c>
      <c r="K14" s="2" t="str">
        <f>_xlfn.XLOOKUP(A14,Produtos!A:A,Produtos!D:D,"Não encontrado")</f>
        <v>Moda Bella</v>
      </c>
      <c r="L14" s="3" t="str">
        <f t="shared" si="2"/>
        <v>P005 | Saia Midi | Feminino</v>
      </c>
    </row>
    <row r="15" spans="1:12">
      <c r="A15" s="5" t="s">
        <v>46</v>
      </c>
      <c r="B15" s="6" t="s">
        <v>47</v>
      </c>
      <c r="C15" s="5" t="s">
        <v>24</v>
      </c>
      <c r="D15" s="5" t="s">
        <v>19</v>
      </c>
      <c r="E15" s="5" t="s">
        <v>41</v>
      </c>
      <c r="F15" s="5">
        <v>33</v>
      </c>
      <c r="G15" s="7">
        <v>79.900000000000006</v>
      </c>
      <c r="H15" s="7">
        <f t="shared" si="0"/>
        <v>2636.7000000000003</v>
      </c>
      <c r="I15" s="7">
        <v>2000</v>
      </c>
      <c r="J15" s="2" t="str">
        <f t="shared" si="1"/>
        <v>Sim</v>
      </c>
      <c r="K15" s="2" t="str">
        <f>_xlfn.XLOOKUP(A15,Produtos!A:A,Produtos!D:D,"Não encontrado")</f>
        <v>Urban Style</v>
      </c>
      <c r="L15" s="3" t="str">
        <f t="shared" si="2"/>
        <v>P009 | Bermuda Cargo | Masculino</v>
      </c>
    </row>
    <row r="16" spans="1:12">
      <c r="A16" s="2" t="s">
        <v>48</v>
      </c>
      <c r="B16" s="3" t="s">
        <v>49</v>
      </c>
      <c r="C16" s="2" t="s">
        <v>24</v>
      </c>
      <c r="D16" s="2" t="s">
        <v>25</v>
      </c>
      <c r="E16" s="2" t="s">
        <v>41</v>
      </c>
      <c r="F16" s="2">
        <v>24</v>
      </c>
      <c r="G16" s="4">
        <v>99.9</v>
      </c>
      <c r="H16" s="4">
        <f t="shared" si="0"/>
        <v>2397.6000000000004</v>
      </c>
      <c r="I16" s="4">
        <v>2500</v>
      </c>
      <c r="J16" s="2" t="str">
        <f t="shared" si="1"/>
        <v>Não</v>
      </c>
      <c r="K16" s="2" t="str">
        <f>_xlfn.XLOOKUP(A16,Produtos!A:A,Produtos!D:D,"Não encontrado")</f>
        <v>Urban Style</v>
      </c>
      <c r="L16" s="3" t="str">
        <f t="shared" si="2"/>
        <v>P010 | Moletom Canguru | Masculino</v>
      </c>
    </row>
    <row r="17" spans="1:12">
      <c r="A17" s="5" t="s">
        <v>50</v>
      </c>
      <c r="B17" s="6" t="s">
        <v>51</v>
      </c>
      <c r="C17" s="5" t="s">
        <v>30</v>
      </c>
      <c r="D17" s="5" t="s">
        <v>15</v>
      </c>
      <c r="E17" s="5" t="s">
        <v>41</v>
      </c>
      <c r="F17" s="5">
        <v>41</v>
      </c>
      <c r="G17" s="7">
        <v>29.9</v>
      </c>
      <c r="H17" s="7">
        <f t="shared" si="0"/>
        <v>1225.8999999999999</v>
      </c>
      <c r="I17" s="7">
        <v>1000</v>
      </c>
      <c r="J17" s="2" t="str">
        <f t="shared" si="1"/>
        <v>Sim</v>
      </c>
      <c r="K17" s="2" t="str">
        <f>_xlfn.XLOOKUP(A17,Produtos!A:A,Produtos!D:D,"Não encontrado")</f>
        <v>Mini Moda</v>
      </c>
      <c r="L17" s="3" t="str">
        <f t="shared" si="2"/>
        <v>P013 | Calça Legging Infantil | Infantil</v>
      </c>
    </row>
    <row r="18" spans="1:12">
      <c r="A18" s="2" t="s">
        <v>52</v>
      </c>
      <c r="B18" s="3" t="s">
        <v>53</v>
      </c>
      <c r="C18" s="2" t="s">
        <v>30</v>
      </c>
      <c r="D18" s="2" t="s">
        <v>31</v>
      </c>
      <c r="E18" s="2" t="s">
        <v>41</v>
      </c>
      <c r="F18" s="2">
        <v>67</v>
      </c>
      <c r="G18" s="4">
        <v>24.9</v>
      </c>
      <c r="H18" s="4">
        <f t="shared" si="0"/>
        <v>1668.3</v>
      </c>
      <c r="I18" s="4">
        <v>1500</v>
      </c>
      <c r="J18" s="2" t="str">
        <f t="shared" si="1"/>
        <v>Sim</v>
      </c>
      <c r="K18" s="2" t="str">
        <f>_xlfn.XLOOKUP(A18,Produtos!A:A,Produtos!D:D,"Não encontrado")</f>
        <v>Mini Moda</v>
      </c>
      <c r="L18" s="3" t="str">
        <f t="shared" si="2"/>
        <v>P014 | Camiseta Infantil | Infantil</v>
      </c>
    </row>
    <row r="19" spans="1:12">
      <c r="A19" s="5" t="s">
        <v>54</v>
      </c>
      <c r="B19" s="6" t="s">
        <v>55</v>
      </c>
      <c r="C19" s="5" t="s">
        <v>14</v>
      </c>
      <c r="D19" s="5" t="s">
        <v>19</v>
      </c>
      <c r="E19" s="5" t="s">
        <v>41</v>
      </c>
      <c r="F19" s="5">
        <v>11</v>
      </c>
      <c r="G19" s="7">
        <v>149.9</v>
      </c>
      <c r="H19" s="7">
        <f t="shared" si="0"/>
        <v>1648.9</v>
      </c>
      <c r="I19" s="7">
        <v>1500</v>
      </c>
      <c r="J19" s="2" t="str">
        <f t="shared" si="1"/>
        <v>Sim</v>
      </c>
      <c r="K19" s="2" t="str">
        <f>_xlfn.XLOOKUP(A19,Produtos!A:A,Produtos!D:D,"Não encontrado")</f>
        <v>Jeans &amp; Cia</v>
      </c>
      <c r="L19" s="3" t="str">
        <f t="shared" si="2"/>
        <v>P015 | Jaqueta Jeans | Feminino</v>
      </c>
    </row>
    <row r="20" spans="1:12">
      <c r="A20" s="2" t="s">
        <v>56</v>
      </c>
      <c r="B20" s="3" t="s">
        <v>57</v>
      </c>
      <c r="C20" s="2" t="s">
        <v>38</v>
      </c>
      <c r="D20" s="2" t="s">
        <v>25</v>
      </c>
      <c r="E20" s="2" t="s">
        <v>41</v>
      </c>
      <c r="F20" s="2">
        <v>20</v>
      </c>
      <c r="G20" s="4">
        <v>59.9</v>
      </c>
      <c r="H20" s="4">
        <f t="shared" si="0"/>
        <v>1198</v>
      </c>
      <c r="I20" s="4">
        <v>1200</v>
      </c>
      <c r="J20" s="2" t="str">
        <f t="shared" si="1"/>
        <v>Não</v>
      </c>
      <c r="K20" s="2" t="str">
        <f>_xlfn.XLOOKUP(A20,Produtos!A:A,Produtos!D:D,"Não encontrado")</f>
        <v>Confecções Alpha</v>
      </c>
      <c r="L20" s="3" t="str">
        <f t="shared" si="2"/>
        <v>P017 | Pijama Adulto | Unissex</v>
      </c>
    </row>
    <row r="21" spans="1:12">
      <c r="A21" s="5" t="s">
        <v>39</v>
      </c>
      <c r="B21" s="6" t="s">
        <v>40</v>
      </c>
      <c r="C21" s="5" t="s">
        <v>38</v>
      </c>
      <c r="D21" s="5" t="s">
        <v>15</v>
      </c>
      <c r="E21" s="5" t="s">
        <v>41</v>
      </c>
      <c r="F21" s="5">
        <v>18</v>
      </c>
      <c r="G21" s="7">
        <v>49.9</v>
      </c>
      <c r="H21" s="7">
        <f t="shared" si="0"/>
        <v>898.19999999999993</v>
      </c>
      <c r="I21" s="7">
        <v>800</v>
      </c>
      <c r="J21" s="2" t="str">
        <f t="shared" si="1"/>
        <v>Sim</v>
      </c>
      <c r="K21" s="2" t="str">
        <f>_xlfn.XLOOKUP(A21,Produtos!A:A,Produtos!D:D,"Não encontrado")</f>
        <v>Acessórios Total</v>
      </c>
      <c r="L21" s="3" t="str">
        <f t="shared" si="2"/>
        <v>P019 | Cinto de Couro | Unissex</v>
      </c>
    </row>
    <row r="22" spans="1:12">
      <c r="A22" s="2" t="s">
        <v>17</v>
      </c>
      <c r="B22" s="3" t="s">
        <v>18</v>
      </c>
      <c r="C22" s="2" t="s">
        <v>14</v>
      </c>
      <c r="D22" s="2" t="s">
        <v>31</v>
      </c>
      <c r="E22" s="2" t="s">
        <v>58</v>
      </c>
      <c r="F22" s="2">
        <v>35</v>
      </c>
      <c r="G22" s="4">
        <v>89.9</v>
      </c>
      <c r="H22" s="4">
        <f t="shared" si="0"/>
        <v>3146.5</v>
      </c>
      <c r="I22" s="4">
        <v>3000</v>
      </c>
      <c r="J22" s="2" t="str">
        <f t="shared" si="1"/>
        <v>Sim</v>
      </c>
      <c r="K22" s="2" t="str">
        <f>_xlfn.XLOOKUP(A22,Produtos!A:A,Produtos!D:D,"Não encontrado")</f>
        <v>Jeans &amp; Cia</v>
      </c>
      <c r="L22" s="3" t="str">
        <f t="shared" si="2"/>
        <v>P002 | Calça Jeans Skinny | Feminino</v>
      </c>
    </row>
    <row r="23" spans="1:12">
      <c r="A23" s="5" t="s">
        <v>20</v>
      </c>
      <c r="B23" s="6" t="s">
        <v>21</v>
      </c>
      <c r="C23" s="5" t="s">
        <v>14</v>
      </c>
      <c r="D23" s="5" t="s">
        <v>19</v>
      </c>
      <c r="E23" s="5" t="s">
        <v>58</v>
      </c>
      <c r="F23" s="5">
        <v>29</v>
      </c>
      <c r="G23" s="7">
        <v>69.900000000000006</v>
      </c>
      <c r="H23" s="7">
        <f t="shared" si="0"/>
        <v>2027.1000000000001</v>
      </c>
      <c r="I23" s="7">
        <v>2000</v>
      </c>
      <c r="J23" s="2" t="str">
        <f t="shared" si="1"/>
        <v>Sim</v>
      </c>
      <c r="K23" s="2" t="str">
        <f>_xlfn.XLOOKUP(A23,Produtos!A:A,Produtos!D:D,"Não encontrado")</f>
        <v>Moda Bella</v>
      </c>
      <c r="L23" s="3" t="str">
        <f t="shared" si="2"/>
        <v>P003 | Vestido Floral | Feminino</v>
      </c>
    </row>
    <row r="24" spans="1:12">
      <c r="A24" s="2" t="s">
        <v>22</v>
      </c>
      <c r="B24" s="3" t="s">
        <v>23</v>
      </c>
      <c r="C24" s="2" t="s">
        <v>24</v>
      </c>
      <c r="D24" s="2" t="s">
        <v>15</v>
      </c>
      <c r="E24" s="2" t="s">
        <v>58</v>
      </c>
      <c r="F24" s="2">
        <v>22</v>
      </c>
      <c r="G24" s="4">
        <v>79.900000000000006</v>
      </c>
      <c r="H24" s="4">
        <f t="shared" si="0"/>
        <v>1757.8000000000002</v>
      </c>
      <c r="I24" s="4">
        <v>1800</v>
      </c>
      <c r="J24" s="2" t="str">
        <f t="shared" si="1"/>
        <v>Não</v>
      </c>
      <c r="K24" s="2" t="str">
        <f>_xlfn.XLOOKUP(A24,Produtos!A:A,Produtos!D:D,"Não encontrado")</f>
        <v>Jeans &amp; Cia</v>
      </c>
      <c r="L24" s="3" t="str">
        <f t="shared" si="2"/>
        <v>P006 | Calça Jeans Reta | Masculino</v>
      </c>
    </row>
    <row r="25" spans="1:12">
      <c r="A25" s="5" t="s">
        <v>26</v>
      </c>
      <c r="B25" s="6" t="s">
        <v>27</v>
      </c>
      <c r="C25" s="5" t="s">
        <v>24</v>
      </c>
      <c r="D25" s="5" t="s">
        <v>31</v>
      </c>
      <c r="E25" s="5" t="s">
        <v>58</v>
      </c>
      <c r="F25" s="5">
        <v>15</v>
      </c>
      <c r="G25" s="7">
        <v>129.9</v>
      </c>
      <c r="H25" s="7">
        <f t="shared" si="0"/>
        <v>1948.5</v>
      </c>
      <c r="I25" s="7">
        <v>2000</v>
      </c>
      <c r="J25" s="2" t="str">
        <f t="shared" si="1"/>
        <v>Não</v>
      </c>
      <c r="K25" s="2" t="str">
        <f>_xlfn.XLOOKUP(A25,Produtos!A:A,Produtos!D:D,"Não encontrado")</f>
        <v>Formal Wear</v>
      </c>
      <c r="L25" s="3" t="str">
        <f t="shared" si="2"/>
        <v>P007 | Camisa Social | Masculino</v>
      </c>
    </row>
    <row r="26" spans="1:12">
      <c r="A26" s="2" t="s">
        <v>34</v>
      </c>
      <c r="B26" s="3" t="s">
        <v>35</v>
      </c>
      <c r="C26" s="2" t="s">
        <v>24</v>
      </c>
      <c r="D26" s="2" t="s">
        <v>25</v>
      </c>
      <c r="E26" s="2" t="s">
        <v>58</v>
      </c>
      <c r="F26" s="2">
        <v>31</v>
      </c>
      <c r="G26" s="4">
        <v>59.9</v>
      </c>
      <c r="H26" s="4">
        <f t="shared" si="0"/>
        <v>1856.8999999999999</v>
      </c>
      <c r="I26" s="4">
        <v>1800</v>
      </c>
      <c r="J26" s="2" t="str">
        <f t="shared" si="1"/>
        <v>Sim</v>
      </c>
      <c r="K26" s="2" t="str">
        <f>_xlfn.XLOOKUP(A26,Produtos!A:A,Produtos!D:D,"Não encontrado")</f>
        <v>Confecções Alpha</v>
      </c>
      <c r="L26" s="3" t="str">
        <f t="shared" si="2"/>
        <v>P008 | Camiseta Polo | Masculino</v>
      </c>
    </row>
    <row r="27" spans="1:12">
      <c r="A27" s="5" t="s">
        <v>28</v>
      </c>
      <c r="B27" s="6" t="s">
        <v>29</v>
      </c>
      <c r="C27" s="5" t="s">
        <v>30</v>
      </c>
      <c r="D27" s="5" t="s">
        <v>19</v>
      </c>
      <c r="E27" s="5" t="s">
        <v>58</v>
      </c>
      <c r="F27" s="5">
        <v>48</v>
      </c>
      <c r="G27" s="7">
        <v>49.9</v>
      </c>
      <c r="H27" s="7">
        <f t="shared" si="0"/>
        <v>2395.1999999999998</v>
      </c>
      <c r="I27" s="7">
        <v>2200</v>
      </c>
      <c r="J27" s="2" t="str">
        <f t="shared" si="1"/>
        <v>Sim</v>
      </c>
      <c r="K27" s="2" t="str">
        <f>_xlfn.XLOOKUP(A27,Produtos!A:A,Produtos!D:D,"Não encontrado")</f>
        <v>Baby Fashion</v>
      </c>
      <c r="L27" s="3" t="str">
        <f t="shared" si="2"/>
        <v>P011 | Conjunto Infantil | Infantil</v>
      </c>
    </row>
    <row r="28" spans="1:12">
      <c r="A28" s="2" t="s">
        <v>32</v>
      </c>
      <c r="B28" s="3" t="s">
        <v>33</v>
      </c>
      <c r="C28" s="2" t="s">
        <v>30</v>
      </c>
      <c r="D28" s="2" t="s">
        <v>15</v>
      </c>
      <c r="E28" s="2" t="s">
        <v>58</v>
      </c>
      <c r="F28" s="2">
        <v>33</v>
      </c>
      <c r="G28" s="4">
        <v>39.9</v>
      </c>
      <c r="H28" s="4">
        <f t="shared" si="0"/>
        <v>1316.7</v>
      </c>
      <c r="I28" s="4">
        <v>1300</v>
      </c>
      <c r="J28" s="2" t="str">
        <f t="shared" si="1"/>
        <v>Sim</v>
      </c>
      <c r="K28" s="2" t="str">
        <f>_xlfn.XLOOKUP(A28,Produtos!A:A,Produtos!D:D,"Não encontrado")</f>
        <v>Baby Fashion</v>
      </c>
      <c r="L28" s="3" t="str">
        <f t="shared" si="2"/>
        <v>P012 | Vestido Infantil | Infantil</v>
      </c>
    </row>
    <row r="29" spans="1:12">
      <c r="A29" s="5" t="s">
        <v>59</v>
      </c>
      <c r="B29" s="6" t="s">
        <v>60</v>
      </c>
      <c r="C29" s="5" t="s">
        <v>24</v>
      </c>
      <c r="D29" s="5" t="s">
        <v>31</v>
      </c>
      <c r="E29" s="5" t="s">
        <v>58</v>
      </c>
      <c r="F29" s="5">
        <v>5</v>
      </c>
      <c r="G29" s="7">
        <v>399.9</v>
      </c>
      <c r="H29" s="7">
        <f t="shared" si="0"/>
        <v>1999.5</v>
      </c>
      <c r="I29" s="7">
        <v>2000</v>
      </c>
      <c r="J29" s="2" t="str">
        <f t="shared" si="1"/>
        <v>Não</v>
      </c>
      <c r="K29" s="2" t="str">
        <f>_xlfn.XLOOKUP(A29,Produtos!A:A,Produtos!D:D,"Não encontrado")</f>
        <v>Formal Wear</v>
      </c>
      <c r="L29" s="3" t="str">
        <f t="shared" si="2"/>
        <v>P016 | Terno Completo | Masculino</v>
      </c>
    </row>
    <row r="30" spans="1:12">
      <c r="A30" s="2" t="s">
        <v>36</v>
      </c>
      <c r="B30" s="3" t="s">
        <v>37</v>
      </c>
      <c r="C30" s="2" t="s">
        <v>38</v>
      </c>
      <c r="D30" s="2" t="s">
        <v>25</v>
      </c>
      <c r="E30" s="2" t="s">
        <v>58</v>
      </c>
      <c r="F30" s="2">
        <v>75</v>
      </c>
      <c r="G30" s="4">
        <v>19.899999999999999</v>
      </c>
      <c r="H30" s="4">
        <f t="shared" si="0"/>
        <v>1492.5</v>
      </c>
      <c r="I30" s="4">
        <v>1200</v>
      </c>
      <c r="J30" s="2" t="str">
        <f t="shared" si="1"/>
        <v>Sim</v>
      </c>
      <c r="K30" s="2" t="str">
        <f>_xlfn.XLOOKUP(A30,Produtos!A:A,Produtos!D:D,"Não encontrado")</f>
        <v>Acessórios Total</v>
      </c>
      <c r="L30" s="3" t="str">
        <f t="shared" si="2"/>
        <v>P018 | Meia Kit 3 Pares | Unissex</v>
      </c>
    </row>
    <row r="31" spans="1:12">
      <c r="A31" s="5" t="s">
        <v>61</v>
      </c>
      <c r="B31" s="6" t="s">
        <v>62</v>
      </c>
      <c r="C31" s="5" t="s">
        <v>38</v>
      </c>
      <c r="D31" s="5" t="s">
        <v>19</v>
      </c>
      <c r="E31" s="5" t="s">
        <v>58</v>
      </c>
      <c r="F31" s="5">
        <v>22</v>
      </c>
      <c r="G31" s="7">
        <v>39.9</v>
      </c>
      <c r="H31" s="7">
        <f t="shared" si="0"/>
        <v>877.8</v>
      </c>
      <c r="I31" s="7">
        <v>800</v>
      </c>
      <c r="J31" s="2" t="str">
        <f t="shared" si="1"/>
        <v>Sim</v>
      </c>
      <c r="K31" s="2" t="str">
        <f>_xlfn.XLOOKUP(A31,Produtos!A:A,Produtos!D:D,"Não encontrado")</f>
        <v>Urban Style</v>
      </c>
      <c r="L31" s="3" t="str">
        <f t="shared" si="2"/>
        <v>P020 | Boné Bordado | Unissex</v>
      </c>
    </row>
    <row r="32" spans="1:12">
      <c r="A32" s="2" t="s">
        <v>12</v>
      </c>
      <c r="B32" s="3" t="s">
        <v>13</v>
      </c>
      <c r="C32" s="2" t="s">
        <v>14</v>
      </c>
      <c r="D32" s="2" t="s">
        <v>15</v>
      </c>
      <c r="E32" s="2" t="s">
        <v>63</v>
      </c>
      <c r="F32" s="2">
        <v>60</v>
      </c>
      <c r="G32" s="4">
        <v>39.9</v>
      </c>
      <c r="H32" s="4">
        <f t="shared" si="0"/>
        <v>2394</v>
      </c>
      <c r="I32" s="4">
        <v>2000</v>
      </c>
      <c r="J32" s="2" t="str">
        <f t="shared" si="1"/>
        <v>Sim</v>
      </c>
      <c r="K32" s="2" t="str">
        <f>_xlfn.XLOOKUP(A32,Produtos!A:A,Produtos!D:D,"Não encontrado")</f>
        <v>Confecções Alpha</v>
      </c>
      <c r="L32" s="3" t="str">
        <f t="shared" si="2"/>
        <v>P001 | Camiseta Básica | Feminino</v>
      </c>
    </row>
    <row r="33" spans="1:12">
      <c r="A33" s="5" t="s">
        <v>42</v>
      </c>
      <c r="B33" s="6" t="s">
        <v>43</v>
      </c>
      <c r="C33" s="5" t="s">
        <v>14</v>
      </c>
      <c r="D33" s="5" t="s">
        <v>25</v>
      </c>
      <c r="E33" s="5" t="s">
        <v>63</v>
      </c>
      <c r="F33" s="5">
        <v>32</v>
      </c>
      <c r="G33" s="7">
        <v>55.9</v>
      </c>
      <c r="H33" s="7">
        <f t="shared" si="0"/>
        <v>1788.8</v>
      </c>
      <c r="I33" s="7">
        <v>1800</v>
      </c>
      <c r="J33" s="2" t="str">
        <f t="shared" si="1"/>
        <v>Não</v>
      </c>
      <c r="K33" s="2" t="str">
        <f>_xlfn.XLOOKUP(A33,Produtos!A:A,Produtos!D:D,"Não encontrado")</f>
        <v>Confecções Alpha</v>
      </c>
      <c r="L33" s="3" t="str">
        <f t="shared" si="2"/>
        <v>P004 | Blusa Manga Longa | Feminino</v>
      </c>
    </row>
    <row r="34" spans="1:12">
      <c r="A34" s="2" t="s">
        <v>44</v>
      </c>
      <c r="B34" s="3" t="s">
        <v>45</v>
      </c>
      <c r="C34" s="2" t="s">
        <v>14</v>
      </c>
      <c r="D34" s="2" t="s">
        <v>31</v>
      </c>
      <c r="E34" s="2" t="s">
        <v>63</v>
      </c>
      <c r="F34" s="2">
        <v>25</v>
      </c>
      <c r="G34" s="4">
        <v>69.900000000000006</v>
      </c>
      <c r="H34" s="4">
        <f t="shared" ref="H34:H65" si="3">F34*G34</f>
        <v>1747.5000000000002</v>
      </c>
      <c r="I34" s="4">
        <v>1500</v>
      </c>
      <c r="J34" s="2" t="str">
        <f t="shared" si="1"/>
        <v>Sim</v>
      </c>
      <c r="K34" s="2" t="str">
        <f>_xlfn.XLOOKUP(A34,Produtos!A:A,Produtos!D:D,"Não encontrado")</f>
        <v>Moda Bella</v>
      </c>
      <c r="L34" s="3" t="str">
        <f t="shared" si="2"/>
        <v>P005 | Saia Midi | Feminino</v>
      </c>
    </row>
    <row r="35" spans="1:12">
      <c r="A35" s="5" t="s">
        <v>46</v>
      </c>
      <c r="B35" s="6" t="s">
        <v>47</v>
      </c>
      <c r="C35" s="5" t="s">
        <v>24</v>
      </c>
      <c r="D35" s="5" t="s">
        <v>19</v>
      </c>
      <c r="E35" s="5" t="s">
        <v>63</v>
      </c>
      <c r="F35" s="5">
        <v>40</v>
      </c>
      <c r="G35" s="7">
        <v>79.900000000000006</v>
      </c>
      <c r="H35" s="7">
        <f t="shared" si="3"/>
        <v>3196</v>
      </c>
      <c r="I35" s="7">
        <v>3000</v>
      </c>
      <c r="J35" s="2" t="str">
        <f t="shared" si="1"/>
        <v>Sim</v>
      </c>
      <c r="K35" s="2" t="str">
        <f>_xlfn.XLOOKUP(A35,Produtos!A:A,Produtos!D:D,"Não encontrado")</f>
        <v>Urban Style</v>
      </c>
      <c r="L35" s="3" t="str">
        <f t="shared" si="2"/>
        <v>P009 | Bermuda Cargo | Masculino</v>
      </c>
    </row>
    <row r="36" spans="1:12">
      <c r="A36" s="2" t="s">
        <v>48</v>
      </c>
      <c r="B36" s="3" t="s">
        <v>49</v>
      </c>
      <c r="C36" s="2" t="s">
        <v>24</v>
      </c>
      <c r="D36" s="2" t="s">
        <v>15</v>
      </c>
      <c r="E36" s="2" t="s">
        <v>63</v>
      </c>
      <c r="F36" s="2">
        <v>18</v>
      </c>
      <c r="G36" s="4">
        <v>99.9</v>
      </c>
      <c r="H36" s="4">
        <f t="shared" si="3"/>
        <v>1798.2</v>
      </c>
      <c r="I36" s="4">
        <v>1800</v>
      </c>
      <c r="J36" s="2" t="str">
        <f t="shared" si="1"/>
        <v>Não</v>
      </c>
      <c r="K36" s="2" t="str">
        <f>_xlfn.XLOOKUP(A36,Produtos!A:A,Produtos!D:D,"Não encontrado")</f>
        <v>Urban Style</v>
      </c>
      <c r="L36" s="3" t="str">
        <f t="shared" si="2"/>
        <v>P010 | Moletom Canguru | Masculino</v>
      </c>
    </row>
    <row r="37" spans="1:12">
      <c r="A37" s="5" t="s">
        <v>50</v>
      </c>
      <c r="B37" s="6" t="s">
        <v>51</v>
      </c>
      <c r="C37" s="5" t="s">
        <v>30</v>
      </c>
      <c r="D37" s="5" t="s">
        <v>25</v>
      </c>
      <c r="E37" s="5" t="s">
        <v>63</v>
      </c>
      <c r="F37" s="5">
        <v>50</v>
      </c>
      <c r="G37" s="7">
        <v>29.9</v>
      </c>
      <c r="H37" s="7">
        <f t="shared" si="3"/>
        <v>1495</v>
      </c>
      <c r="I37" s="7">
        <v>1200</v>
      </c>
      <c r="J37" s="2" t="str">
        <f t="shared" si="1"/>
        <v>Sim</v>
      </c>
      <c r="K37" s="2" t="str">
        <f>_xlfn.XLOOKUP(A37,Produtos!A:A,Produtos!D:D,"Não encontrado")</f>
        <v>Mini Moda</v>
      </c>
      <c r="L37" s="3" t="str">
        <f t="shared" si="2"/>
        <v>P013 | Calça Legging Infantil | Infantil</v>
      </c>
    </row>
    <row r="38" spans="1:12">
      <c r="A38" s="2" t="s">
        <v>52</v>
      </c>
      <c r="B38" s="3" t="s">
        <v>53</v>
      </c>
      <c r="C38" s="2" t="s">
        <v>30</v>
      </c>
      <c r="D38" s="2" t="s">
        <v>31</v>
      </c>
      <c r="E38" s="2" t="s">
        <v>63</v>
      </c>
      <c r="F38" s="2">
        <v>72</v>
      </c>
      <c r="G38" s="4">
        <v>24.9</v>
      </c>
      <c r="H38" s="4">
        <f t="shared" si="3"/>
        <v>1792.8</v>
      </c>
      <c r="I38" s="4">
        <v>1800</v>
      </c>
      <c r="J38" s="2" t="str">
        <f t="shared" si="1"/>
        <v>Não</v>
      </c>
      <c r="K38" s="2" t="str">
        <f>_xlfn.XLOOKUP(A38,Produtos!A:A,Produtos!D:D,"Não encontrado")</f>
        <v>Mini Moda</v>
      </c>
      <c r="L38" s="3" t="str">
        <f t="shared" si="2"/>
        <v>P014 | Camiseta Infantil | Infantil</v>
      </c>
    </row>
    <row r="39" spans="1:12">
      <c r="A39" s="5" t="s">
        <v>54</v>
      </c>
      <c r="B39" s="6" t="s">
        <v>55</v>
      </c>
      <c r="C39" s="5" t="s">
        <v>14</v>
      </c>
      <c r="D39" s="5" t="s">
        <v>19</v>
      </c>
      <c r="E39" s="5" t="s">
        <v>63</v>
      </c>
      <c r="F39" s="5">
        <v>14</v>
      </c>
      <c r="G39" s="7">
        <v>149.9</v>
      </c>
      <c r="H39" s="7">
        <f t="shared" si="3"/>
        <v>2098.6</v>
      </c>
      <c r="I39" s="7">
        <v>2000</v>
      </c>
      <c r="J39" s="2" t="str">
        <f t="shared" si="1"/>
        <v>Sim</v>
      </c>
      <c r="K39" s="2" t="str">
        <f>_xlfn.XLOOKUP(A39,Produtos!A:A,Produtos!D:D,"Não encontrado")</f>
        <v>Jeans &amp; Cia</v>
      </c>
      <c r="L39" s="3" t="str">
        <f t="shared" si="2"/>
        <v>P015 | Jaqueta Jeans | Feminino</v>
      </c>
    </row>
    <row r="40" spans="1:12">
      <c r="A40" s="2" t="s">
        <v>56</v>
      </c>
      <c r="B40" s="3" t="s">
        <v>57</v>
      </c>
      <c r="C40" s="2" t="s">
        <v>38</v>
      </c>
      <c r="D40" s="2" t="s">
        <v>15</v>
      </c>
      <c r="E40" s="2" t="s">
        <v>63</v>
      </c>
      <c r="F40" s="2">
        <v>25</v>
      </c>
      <c r="G40" s="4">
        <v>59.9</v>
      </c>
      <c r="H40" s="4">
        <f t="shared" si="3"/>
        <v>1497.5</v>
      </c>
      <c r="I40" s="4">
        <v>1500</v>
      </c>
      <c r="J40" s="2" t="str">
        <f t="shared" si="1"/>
        <v>Não</v>
      </c>
      <c r="K40" s="2" t="str">
        <f>_xlfn.XLOOKUP(A40,Produtos!A:A,Produtos!D:D,"Não encontrado")</f>
        <v>Confecções Alpha</v>
      </c>
      <c r="L40" s="3" t="str">
        <f t="shared" si="2"/>
        <v>P017 | Pijama Adulto | Unissex</v>
      </c>
    </row>
    <row r="41" spans="1:12">
      <c r="A41" s="5" t="s">
        <v>39</v>
      </c>
      <c r="B41" s="6" t="s">
        <v>40</v>
      </c>
      <c r="C41" s="5" t="s">
        <v>38</v>
      </c>
      <c r="D41" s="5" t="s">
        <v>25</v>
      </c>
      <c r="E41" s="5" t="s">
        <v>63</v>
      </c>
      <c r="F41" s="5">
        <v>20</v>
      </c>
      <c r="G41" s="7">
        <v>49.9</v>
      </c>
      <c r="H41" s="7">
        <f t="shared" si="3"/>
        <v>998</v>
      </c>
      <c r="I41" s="7">
        <v>900</v>
      </c>
      <c r="J41" s="2" t="str">
        <f t="shared" si="1"/>
        <v>Sim</v>
      </c>
      <c r="K41" s="2" t="str">
        <f>_xlfn.XLOOKUP(A41,Produtos!A:A,Produtos!D:D,"Não encontrado")</f>
        <v>Acessórios Total</v>
      </c>
      <c r="L41" s="3" t="str">
        <f t="shared" si="2"/>
        <v>P019 | Cinto de Couro | Unissex</v>
      </c>
    </row>
    <row r="42" spans="1:12">
      <c r="A42" s="2" t="s">
        <v>17</v>
      </c>
      <c r="B42" s="3" t="s">
        <v>18</v>
      </c>
      <c r="C42" s="2" t="s">
        <v>14</v>
      </c>
      <c r="D42" s="2" t="s">
        <v>31</v>
      </c>
      <c r="E42" s="2" t="s">
        <v>64</v>
      </c>
      <c r="F42" s="2">
        <v>42</v>
      </c>
      <c r="G42" s="4">
        <v>89.9</v>
      </c>
      <c r="H42" s="4">
        <f t="shared" si="3"/>
        <v>3775.8</v>
      </c>
      <c r="I42" s="4">
        <v>3500</v>
      </c>
      <c r="J42" s="2" t="str">
        <f t="shared" si="1"/>
        <v>Sim</v>
      </c>
      <c r="K42" s="2" t="str">
        <f>_xlfn.XLOOKUP(A42,Produtos!A:A,Produtos!D:D,"Não encontrado")</f>
        <v>Jeans &amp; Cia</v>
      </c>
      <c r="L42" s="3" t="str">
        <f t="shared" si="2"/>
        <v>P002 | Calça Jeans Skinny | Feminino</v>
      </c>
    </row>
    <row r="43" spans="1:12">
      <c r="A43" s="5" t="s">
        <v>20</v>
      </c>
      <c r="B43" s="6" t="s">
        <v>21</v>
      </c>
      <c r="C43" s="5" t="s">
        <v>14</v>
      </c>
      <c r="D43" s="5" t="s">
        <v>15</v>
      </c>
      <c r="E43" s="5" t="s">
        <v>64</v>
      </c>
      <c r="F43" s="5">
        <v>35</v>
      </c>
      <c r="G43" s="7">
        <v>69.900000000000006</v>
      </c>
      <c r="H43" s="7">
        <f t="shared" si="3"/>
        <v>2446.5</v>
      </c>
      <c r="I43" s="7">
        <v>2500</v>
      </c>
      <c r="J43" s="2" t="str">
        <f t="shared" si="1"/>
        <v>Não</v>
      </c>
      <c r="K43" s="2" t="str">
        <f>_xlfn.XLOOKUP(A43,Produtos!A:A,Produtos!D:D,"Não encontrado")</f>
        <v>Moda Bella</v>
      </c>
      <c r="L43" s="3" t="str">
        <f t="shared" si="2"/>
        <v>P003 | Vestido Floral | Feminino</v>
      </c>
    </row>
    <row r="44" spans="1:12">
      <c r="A44" s="2" t="s">
        <v>22</v>
      </c>
      <c r="B44" s="3" t="s">
        <v>23</v>
      </c>
      <c r="C44" s="2" t="s">
        <v>24</v>
      </c>
      <c r="D44" s="2" t="s">
        <v>19</v>
      </c>
      <c r="E44" s="2" t="s">
        <v>64</v>
      </c>
      <c r="F44" s="2">
        <v>28</v>
      </c>
      <c r="G44" s="4">
        <v>79.900000000000006</v>
      </c>
      <c r="H44" s="4">
        <f t="shared" si="3"/>
        <v>2237.2000000000003</v>
      </c>
      <c r="I44" s="4">
        <v>2000</v>
      </c>
      <c r="J44" s="2" t="str">
        <f t="shared" si="1"/>
        <v>Sim</v>
      </c>
      <c r="K44" s="2" t="str">
        <f>_xlfn.XLOOKUP(A44,Produtos!A:A,Produtos!D:D,"Não encontrado")</f>
        <v>Jeans &amp; Cia</v>
      </c>
      <c r="L44" s="3" t="str">
        <f t="shared" si="2"/>
        <v>P006 | Calça Jeans Reta | Masculino</v>
      </c>
    </row>
    <row r="45" spans="1:12">
      <c r="A45" s="5" t="s">
        <v>26</v>
      </c>
      <c r="B45" s="6" t="s">
        <v>27</v>
      </c>
      <c r="C45" s="5" t="s">
        <v>24</v>
      </c>
      <c r="D45" s="5" t="s">
        <v>25</v>
      </c>
      <c r="E45" s="5" t="s">
        <v>64</v>
      </c>
      <c r="F45" s="5">
        <v>18</v>
      </c>
      <c r="G45" s="7">
        <v>129.9</v>
      </c>
      <c r="H45" s="7">
        <f t="shared" si="3"/>
        <v>2338.2000000000003</v>
      </c>
      <c r="I45" s="7">
        <v>2500</v>
      </c>
      <c r="J45" s="2" t="str">
        <f t="shared" si="1"/>
        <v>Não</v>
      </c>
      <c r="K45" s="2" t="str">
        <f>_xlfn.XLOOKUP(A45,Produtos!A:A,Produtos!D:D,"Não encontrado")</f>
        <v>Formal Wear</v>
      </c>
      <c r="L45" s="3" t="str">
        <f t="shared" si="2"/>
        <v>P007 | Camisa Social | Masculino</v>
      </c>
    </row>
    <row r="46" spans="1:12">
      <c r="A46" s="2" t="s">
        <v>34</v>
      </c>
      <c r="B46" s="3" t="s">
        <v>35</v>
      </c>
      <c r="C46" s="2" t="s">
        <v>24</v>
      </c>
      <c r="D46" s="2" t="s">
        <v>31</v>
      </c>
      <c r="E46" s="2" t="s">
        <v>64</v>
      </c>
      <c r="F46" s="2">
        <v>35</v>
      </c>
      <c r="G46" s="4">
        <v>59.9</v>
      </c>
      <c r="H46" s="4">
        <f t="shared" si="3"/>
        <v>2096.5</v>
      </c>
      <c r="I46" s="4">
        <v>2000</v>
      </c>
      <c r="J46" s="2" t="str">
        <f t="shared" si="1"/>
        <v>Sim</v>
      </c>
      <c r="K46" s="2" t="str">
        <f>_xlfn.XLOOKUP(A46,Produtos!A:A,Produtos!D:D,"Não encontrado")</f>
        <v>Confecções Alpha</v>
      </c>
      <c r="L46" s="3" t="str">
        <f t="shared" si="2"/>
        <v>P008 | Camiseta Polo | Masculino</v>
      </c>
    </row>
    <row r="47" spans="1:12">
      <c r="A47" s="5" t="s">
        <v>28</v>
      </c>
      <c r="B47" s="6" t="s">
        <v>29</v>
      </c>
      <c r="C47" s="5" t="s">
        <v>30</v>
      </c>
      <c r="D47" s="5" t="s">
        <v>15</v>
      </c>
      <c r="E47" s="5" t="s">
        <v>64</v>
      </c>
      <c r="F47" s="5">
        <v>52</v>
      </c>
      <c r="G47" s="7">
        <v>49.9</v>
      </c>
      <c r="H47" s="7">
        <f t="shared" si="3"/>
        <v>2594.7999999999997</v>
      </c>
      <c r="I47" s="7">
        <v>2500</v>
      </c>
      <c r="J47" s="2" t="str">
        <f t="shared" si="1"/>
        <v>Sim</v>
      </c>
      <c r="K47" s="2" t="str">
        <f>_xlfn.XLOOKUP(A47,Produtos!A:A,Produtos!D:D,"Não encontrado")</f>
        <v>Baby Fashion</v>
      </c>
      <c r="L47" s="3" t="str">
        <f t="shared" si="2"/>
        <v>P011 | Conjunto Infantil | Infantil</v>
      </c>
    </row>
    <row r="48" spans="1:12">
      <c r="A48" s="2" t="s">
        <v>32</v>
      </c>
      <c r="B48" s="3" t="s">
        <v>33</v>
      </c>
      <c r="C48" s="2" t="s">
        <v>30</v>
      </c>
      <c r="D48" s="2" t="s">
        <v>19</v>
      </c>
      <c r="E48" s="2" t="s">
        <v>64</v>
      </c>
      <c r="F48" s="2">
        <v>40</v>
      </c>
      <c r="G48" s="4">
        <v>39.9</v>
      </c>
      <c r="H48" s="4">
        <f t="shared" si="3"/>
        <v>1596</v>
      </c>
      <c r="I48" s="4">
        <v>1500</v>
      </c>
      <c r="J48" s="2" t="str">
        <f>IF(H48&gt;=I48,"Sim","Não")</f>
        <v>Sim</v>
      </c>
      <c r="K48" s="2" t="str">
        <f>_xlfn.XLOOKUP(A48,Produtos!A:A,Produtos!D:D,"Não encontrado")</f>
        <v>Baby Fashion</v>
      </c>
      <c r="L48" s="3" t="str">
        <f t="shared" si="2"/>
        <v>P012 | Vestido Infantil | Infantil</v>
      </c>
    </row>
    <row r="49" spans="1:12">
      <c r="A49" s="5" t="s">
        <v>59</v>
      </c>
      <c r="B49" s="6" t="s">
        <v>60</v>
      </c>
      <c r="C49" s="5" t="s">
        <v>24</v>
      </c>
      <c r="D49" s="5" t="s">
        <v>25</v>
      </c>
      <c r="E49" s="5" t="s">
        <v>64</v>
      </c>
      <c r="F49" s="5">
        <v>7</v>
      </c>
      <c r="G49" s="7">
        <v>399.9</v>
      </c>
      <c r="H49" s="7">
        <f t="shared" si="3"/>
        <v>2799.2999999999997</v>
      </c>
      <c r="I49" s="7">
        <v>2800</v>
      </c>
      <c r="J49" s="2" t="str">
        <f t="shared" si="1"/>
        <v>Não</v>
      </c>
      <c r="K49" s="2" t="str">
        <f>_xlfn.XLOOKUP(A49,Produtos!A:A,Produtos!D:D,"Não encontrado")</f>
        <v>Formal Wear</v>
      </c>
      <c r="L49" s="3" t="str">
        <f t="shared" si="2"/>
        <v>P016 | Terno Completo | Masculino</v>
      </c>
    </row>
    <row r="50" spans="1:12">
      <c r="A50" s="2" t="s">
        <v>36</v>
      </c>
      <c r="B50" s="3" t="s">
        <v>37</v>
      </c>
      <c r="C50" s="2" t="s">
        <v>38</v>
      </c>
      <c r="D50" s="2" t="s">
        <v>31</v>
      </c>
      <c r="E50" s="2" t="s">
        <v>64</v>
      </c>
      <c r="F50" s="2">
        <v>80</v>
      </c>
      <c r="G50" s="4">
        <v>19.899999999999999</v>
      </c>
      <c r="H50" s="4">
        <f t="shared" si="3"/>
        <v>1592</v>
      </c>
      <c r="I50" s="4">
        <v>1500</v>
      </c>
      <c r="J50" s="2" t="str">
        <f t="shared" si="1"/>
        <v>Sim</v>
      </c>
      <c r="K50" s="2" t="str">
        <f>_xlfn.XLOOKUP(A50,Produtos!A:A,Produtos!D:D,"Não encontrado")</f>
        <v>Acessórios Total</v>
      </c>
      <c r="L50" s="3" t="str">
        <f t="shared" si="2"/>
        <v>P018 | Meia Kit 3 Pares | Unissex</v>
      </c>
    </row>
    <row r="51" spans="1:12">
      <c r="A51" s="5" t="s">
        <v>61</v>
      </c>
      <c r="B51" s="6" t="s">
        <v>62</v>
      </c>
      <c r="C51" s="5" t="s">
        <v>38</v>
      </c>
      <c r="D51" s="5" t="s">
        <v>15</v>
      </c>
      <c r="E51" s="5" t="s">
        <v>64</v>
      </c>
      <c r="F51" s="5">
        <v>30</v>
      </c>
      <c r="G51" s="7">
        <v>39.9</v>
      </c>
      <c r="H51" s="7">
        <f t="shared" si="3"/>
        <v>1197</v>
      </c>
      <c r="I51" s="7">
        <v>1000</v>
      </c>
      <c r="J51" s="2" t="str">
        <f t="shared" si="1"/>
        <v>Sim</v>
      </c>
      <c r="K51" s="2" t="str">
        <f>_xlfn.XLOOKUP(A51,Produtos!A:A,Produtos!D:D,"Não encontrado")</f>
        <v>Urban Style</v>
      </c>
      <c r="L51" s="3" t="str">
        <f t="shared" si="2"/>
        <v>P020 | Boné Bordado | Unissex</v>
      </c>
    </row>
    <row r="52" spans="1:12">
      <c r="J52" s="8" t="s">
        <v>65</v>
      </c>
      <c r="K52" s="8" t="s">
        <v>66</v>
      </c>
      <c r="L52" s="8" t="s">
        <v>67</v>
      </c>
    </row>
    <row r="53" spans="1:12" ht="27.75" customHeight="1">
      <c r="A53" s="14" t="s">
        <v>68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</row>
    <row r="54" spans="1:12" ht="21.75" customHeight="1">
      <c r="A54" s="15" t="s">
        <v>69</v>
      </c>
      <c r="B54" s="15"/>
      <c r="C54" s="15"/>
      <c r="D54" s="15"/>
      <c r="E54" s="16">
        <f>SUM(H2:H51)</f>
        <v>93787.700000000012</v>
      </c>
      <c r="F54" s="17"/>
      <c r="G54" s="17"/>
      <c r="H54" s="17"/>
      <c r="I54" s="18" t="s">
        <v>70</v>
      </c>
      <c r="J54" s="18"/>
      <c r="K54" s="18"/>
      <c r="L54" s="18"/>
    </row>
    <row r="55" spans="1:12" ht="21.75" customHeight="1">
      <c r="A55" s="15" t="s">
        <v>71</v>
      </c>
      <c r="B55" s="15"/>
      <c r="C55" s="15"/>
      <c r="D55" s="15"/>
      <c r="E55" s="17">
        <f>AVERAGE(F2:F51)</f>
        <v>33.46</v>
      </c>
      <c r="F55" s="17"/>
      <c r="G55" s="17"/>
      <c r="H55" s="17"/>
      <c r="I55" s="19" t="s">
        <v>72</v>
      </c>
      <c r="J55" s="19"/>
      <c r="K55" s="19"/>
      <c r="L55" s="19"/>
    </row>
    <row r="56" spans="1:12" ht="21.75" customHeight="1">
      <c r="A56" s="15" t="s">
        <v>73</v>
      </c>
      <c r="B56" s="15"/>
      <c r="C56" s="15"/>
      <c r="D56" s="15"/>
      <c r="E56" s="16">
        <f>MAX(H4:H51)</f>
        <v>3775.8</v>
      </c>
      <c r="F56" s="17"/>
      <c r="G56" s="17"/>
      <c r="H56" s="17"/>
      <c r="I56" s="18" t="s">
        <v>74</v>
      </c>
      <c r="J56" s="18"/>
      <c r="K56" s="18"/>
      <c r="L56" s="18"/>
    </row>
    <row r="57" spans="1:12" ht="21.75" customHeight="1">
      <c r="A57" s="15" t="s">
        <v>75</v>
      </c>
      <c r="B57" s="15"/>
      <c r="C57" s="15"/>
      <c r="D57" s="15"/>
      <c r="E57" s="16">
        <f>MIN(H2:H51)</f>
        <v>748.5</v>
      </c>
      <c r="F57" s="17"/>
      <c r="G57" s="17"/>
      <c r="H57" s="17"/>
      <c r="I57" s="19" t="s">
        <v>76</v>
      </c>
      <c r="J57" s="19"/>
      <c r="K57" s="19"/>
      <c r="L57" s="19"/>
    </row>
    <row r="58" spans="1:12" ht="21.75" customHeight="1">
      <c r="A58" s="15" t="s">
        <v>77</v>
      </c>
      <c r="B58" s="15"/>
      <c r="C58" s="15"/>
      <c r="D58" s="15"/>
      <c r="E58" s="17">
        <f>COUNTIF(J2:J51,"Sim")</f>
        <v>35</v>
      </c>
      <c r="F58" s="17"/>
      <c r="G58" s="17"/>
      <c r="H58" s="17"/>
      <c r="I58" s="18" t="s">
        <v>78</v>
      </c>
      <c r="J58" s="18"/>
      <c r="K58" s="18"/>
      <c r="L58" s="18"/>
    </row>
    <row r="59" spans="1:12" ht="21.75" customHeight="1">
      <c r="A59" s="15" t="s">
        <v>79</v>
      </c>
      <c r="B59" s="15"/>
      <c r="C59" s="15"/>
      <c r="D59" s="15"/>
      <c r="E59" s="20">
        <f>SUMIF(C2:C51,"Feminino",H2:H51)</f>
        <v>32072.1</v>
      </c>
      <c r="F59" s="21"/>
      <c r="G59" s="21"/>
      <c r="H59" s="22"/>
      <c r="I59" s="19" t="s">
        <v>80</v>
      </c>
      <c r="J59" s="19"/>
      <c r="K59" s="19"/>
      <c r="L59" s="19"/>
    </row>
    <row r="60" spans="1:12" ht="21.75" customHeight="1">
      <c r="A60" s="15" t="s">
        <v>81</v>
      </c>
      <c r="B60" s="15"/>
      <c r="C60" s="15"/>
      <c r="D60" s="15"/>
      <c r="E60" s="23">
        <f>SUMIF(C2:C51,"Masculino",H2:H51)</f>
        <v>31676.700000000004</v>
      </c>
      <c r="F60" s="23"/>
      <c r="G60" s="23"/>
      <c r="H60" s="23"/>
      <c r="I60" s="18" t="s">
        <v>80</v>
      </c>
      <c r="J60" s="18"/>
      <c r="K60" s="18"/>
      <c r="L60" s="18"/>
    </row>
    <row r="61" spans="1:12" ht="21.75" customHeight="1">
      <c r="A61" s="15" t="s">
        <v>82</v>
      </c>
      <c r="B61" s="15"/>
      <c r="C61" s="15"/>
      <c r="D61" s="15"/>
      <c r="E61" s="23">
        <f>SUMIF(C2:C51,"Infantil",H2:H51)</f>
        <v>18345.399999999998</v>
      </c>
      <c r="F61" s="23"/>
      <c r="G61" s="23"/>
      <c r="H61" s="23"/>
      <c r="I61" s="19" t="s">
        <v>80</v>
      </c>
      <c r="J61" s="19"/>
      <c r="K61" s="19"/>
      <c r="L61" s="19"/>
    </row>
    <row r="62" spans="1:12" ht="21.75" customHeight="1">
      <c r="A62" s="15" t="s">
        <v>83</v>
      </c>
      <c r="B62" s="15"/>
      <c r="C62" s="15"/>
      <c r="D62" s="15"/>
      <c r="E62" s="24">
        <f>SUMIF(D2:D51,"Ana",H2:H51)</f>
        <v>23541.3</v>
      </c>
      <c r="F62" s="24"/>
      <c r="G62" s="24"/>
      <c r="H62" s="24"/>
      <c r="I62" s="18" t="s">
        <v>84</v>
      </c>
      <c r="J62" s="18"/>
      <c r="K62" s="18"/>
      <c r="L62" s="18"/>
    </row>
    <row r="63" spans="1:12" ht="21.75" customHeight="1">
      <c r="A63" s="15" t="s">
        <v>85</v>
      </c>
      <c r="B63" s="15"/>
      <c r="C63" s="15"/>
      <c r="D63" s="15"/>
      <c r="E63" s="25">
        <f>COUNTIF(E2:E51,"Jan")</f>
        <v>10</v>
      </c>
      <c r="F63" s="17"/>
      <c r="G63" s="17"/>
      <c r="H63" s="17"/>
      <c r="I63" s="19" t="s">
        <v>86</v>
      </c>
      <c r="J63" s="19"/>
      <c r="K63" s="19"/>
      <c r="L63" s="19"/>
    </row>
  </sheetData>
  <autoFilter ref="B1:B64" xr:uid="{00000000-0001-0000-0000-000000000000}"/>
  <mergeCells count="31">
    <mergeCell ref="A62:D62"/>
    <mergeCell ref="E62:H62"/>
    <mergeCell ref="I62:L62"/>
    <mergeCell ref="A63:D63"/>
    <mergeCell ref="E63:H63"/>
    <mergeCell ref="I63:L63"/>
    <mergeCell ref="A60:D60"/>
    <mergeCell ref="E60:H60"/>
    <mergeCell ref="I60:L60"/>
    <mergeCell ref="A61:D61"/>
    <mergeCell ref="E61:H61"/>
    <mergeCell ref="I61:L61"/>
    <mergeCell ref="A58:D58"/>
    <mergeCell ref="E58:H58"/>
    <mergeCell ref="I58:L58"/>
    <mergeCell ref="A59:D59"/>
    <mergeCell ref="E59:H59"/>
    <mergeCell ref="I59:L59"/>
    <mergeCell ref="A56:D56"/>
    <mergeCell ref="E56:H56"/>
    <mergeCell ref="I56:L56"/>
    <mergeCell ref="A57:D57"/>
    <mergeCell ref="E57:H57"/>
    <mergeCell ref="I57:L57"/>
    <mergeCell ref="A53:L53"/>
    <mergeCell ref="A54:D54"/>
    <mergeCell ref="E54:H54"/>
    <mergeCell ref="I54:L54"/>
    <mergeCell ref="A55:D55"/>
    <mergeCell ref="E55:H55"/>
    <mergeCell ref="I55:L5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zoomScaleNormal="100" workbookViewId="0">
      <pane ySplit="1" topLeftCell="A2" activePane="bottomLeft" state="frozen"/>
      <selection pane="bottomLeft" activeCell="D32" sqref="D32"/>
    </sheetView>
  </sheetViews>
  <sheetFormatPr defaultColWidth="8.7109375" defaultRowHeight="15"/>
  <cols>
    <col min="1" max="1" width="10" customWidth="1"/>
    <col min="2" max="2" width="25" customWidth="1"/>
    <col min="3" max="3" width="15" customWidth="1"/>
    <col min="4" max="5" width="22" customWidth="1"/>
    <col min="6" max="6" width="18" customWidth="1"/>
    <col min="7" max="7" width="10" customWidth="1"/>
  </cols>
  <sheetData>
    <row r="1" spans="1:7" ht="34.5" customHeight="1">
      <c r="A1" s="1" t="s">
        <v>0</v>
      </c>
      <c r="B1" s="1" t="s">
        <v>1</v>
      </c>
      <c r="C1" s="1" t="s">
        <v>2</v>
      </c>
      <c r="D1" s="1" t="s">
        <v>10</v>
      </c>
      <c r="E1" s="1" t="s">
        <v>87</v>
      </c>
      <c r="F1" s="1" t="s">
        <v>88</v>
      </c>
      <c r="G1" s="1" t="s">
        <v>89</v>
      </c>
    </row>
    <row r="2" spans="1:7">
      <c r="A2" s="2" t="s">
        <v>12</v>
      </c>
      <c r="B2" s="3" t="s">
        <v>13</v>
      </c>
      <c r="C2" s="3" t="s">
        <v>14</v>
      </c>
      <c r="D2" s="3" t="s">
        <v>90</v>
      </c>
      <c r="E2" s="2">
        <v>15</v>
      </c>
      <c r="F2" s="2">
        <v>20</v>
      </c>
      <c r="G2" s="2" t="s">
        <v>91</v>
      </c>
    </row>
    <row r="3" spans="1:7">
      <c r="A3" s="5" t="s">
        <v>17</v>
      </c>
      <c r="B3" s="6" t="s">
        <v>18</v>
      </c>
      <c r="C3" s="6" t="s">
        <v>14</v>
      </c>
      <c r="D3" s="6" t="s">
        <v>92</v>
      </c>
      <c r="E3" s="5">
        <v>20</v>
      </c>
      <c r="F3" s="5">
        <v>10</v>
      </c>
      <c r="G3" s="5" t="s">
        <v>91</v>
      </c>
    </row>
    <row r="4" spans="1:7">
      <c r="A4" s="2" t="s">
        <v>20</v>
      </c>
      <c r="B4" s="3" t="s">
        <v>21</v>
      </c>
      <c r="C4" s="3" t="s">
        <v>14</v>
      </c>
      <c r="D4" s="3" t="s">
        <v>93</v>
      </c>
      <c r="E4" s="2">
        <v>25</v>
      </c>
      <c r="F4" s="2">
        <v>8</v>
      </c>
      <c r="G4" s="2" t="s">
        <v>91</v>
      </c>
    </row>
    <row r="5" spans="1:7">
      <c r="A5" s="5" t="s">
        <v>42</v>
      </c>
      <c r="B5" s="6" t="s">
        <v>43</v>
      </c>
      <c r="C5" s="6" t="s">
        <v>14</v>
      </c>
      <c r="D5" s="6" t="s">
        <v>90</v>
      </c>
      <c r="E5" s="5">
        <v>15</v>
      </c>
      <c r="F5" s="5">
        <v>15</v>
      </c>
      <c r="G5" s="5" t="s">
        <v>91</v>
      </c>
    </row>
    <row r="6" spans="1:7">
      <c r="A6" s="2" t="s">
        <v>44</v>
      </c>
      <c r="B6" s="3" t="s">
        <v>45</v>
      </c>
      <c r="C6" s="3" t="s">
        <v>14</v>
      </c>
      <c r="D6" s="3" t="s">
        <v>93</v>
      </c>
      <c r="E6" s="2">
        <v>20</v>
      </c>
      <c r="F6" s="2">
        <v>10</v>
      </c>
      <c r="G6" s="2" t="s">
        <v>91</v>
      </c>
    </row>
    <row r="7" spans="1:7">
      <c r="A7" s="5" t="s">
        <v>22</v>
      </c>
      <c r="B7" s="6" t="s">
        <v>23</v>
      </c>
      <c r="C7" s="6" t="s">
        <v>24</v>
      </c>
      <c r="D7" s="6" t="s">
        <v>92</v>
      </c>
      <c r="E7" s="5">
        <v>20</v>
      </c>
      <c r="F7" s="5">
        <v>12</v>
      </c>
      <c r="G7" s="5" t="s">
        <v>91</v>
      </c>
    </row>
    <row r="8" spans="1:7">
      <c r="A8" s="2" t="s">
        <v>26</v>
      </c>
      <c r="B8" s="3" t="s">
        <v>27</v>
      </c>
      <c r="C8" s="3" t="s">
        <v>24</v>
      </c>
      <c r="D8" s="3" t="s">
        <v>94</v>
      </c>
      <c r="E8" s="2">
        <v>30</v>
      </c>
      <c r="F8" s="2">
        <v>10</v>
      </c>
      <c r="G8" s="2" t="s">
        <v>91</v>
      </c>
    </row>
    <row r="9" spans="1:7">
      <c r="A9" s="5" t="s">
        <v>34</v>
      </c>
      <c r="B9" s="6" t="s">
        <v>35</v>
      </c>
      <c r="C9" s="6" t="s">
        <v>24</v>
      </c>
      <c r="D9" s="6" t="s">
        <v>90</v>
      </c>
      <c r="E9" s="5">
        <v>15</v>
      </c>
      <c r="F9" s="5">
        <v>15</v>
      </c>
      <c r="G9" s="5" t="s">
        <v>91</v>
      </c>
    </row>
    <row r="10" spans="1:7">
      <c r="A10" s="2" t="s">
        <v>46</v>
      </c>
      <c r="B10" s="3" t="s">
        <v>47</v>
      </c>
      <c r="C10" s="3" t="s">
        <v>24</v>
      </c>
      <c r="D10" s="3" t="s">
        <v>95</v>
      </c>
      <c r="E10" s="2">
        <v>18</v>
      </c>
      <c r="F10" s="2">
        <v>12</v>
      </c>
      <c r="G10" s="2" t="s">
        <v>91</v>
      </c>
    </row>
    <row r="11" spans="1:7">
      <c r="A11" s="5" t="s">
        <v>48</v>
      </c>
      <c r="B11" s="6" t="s">
        <v>49</v>
      </c>
      <c r="C11" s="6" t="s">
        <v>24</v>
      </c>
      <c r="D11" s="6" t="s">
        <v>95</v>
      </c>
      <c r="E11" s="5">
        <v>22</v>
      </c>
      <c r="F11" s="5">
        <v>8</v>
      </c>
      <c r="G11" s="5" t="s">
        <v>91</v>
      </c>
    </row>
    <row r="12" spans="1:7">
      <c r="A12" s="2" t="s">
        <v>28</v>
      </c>
      <c r="B12" s="3" t="s">
        <v>29</v>
      </c>
      <c r="C12" s="3" t="s">
        <v>30</v>
      </c>
      <c r="D12" s="3" t="s">
        <v>96</v>
      </c>
      <c r="E12" s="2">
        <v>20</v>
      </c>
      <c r="F12" s="2">
        <v>20</v>
      </c>
      <c r="G12" s="2" t="s">
        <v>91</v>
      </c>
    </row>
    <row r="13" spans="1:7">
      <c r="A13" s="5" t="s">
        <v>32</v>
      </c>
      <c r="B13" s="6" t="s">
        <v>33</v>
      </c>
      <c r="C13" s="6" t="s">
        <v>30</v>
      </c>
      <c r="D13" s="6" t="s">
        <v>96</v>
      </c>
      <c r="E13" s="5">
        <v>25</v>
      </c>
      <c r="F13" s="5">
        <v>15</v>
      </c>
      <c r="G13" s="5" t="s">
        <v>91</v>
      </c>
    </row>
    <row r="14" spans="1:7">
      <c r="A14" s="2" t="s">
        <v>50</v>
      </c>
      <c r="B14" s="3" t="s">
        <v>51</v>
      </c>
      <c r="C14" s="3" t="s">
        <v>30</v>
      </c>
      <c r="D14" s="3" t="s">
        <v>97</v>
      </c>
      <c r="E14" s="2">
        <v>15</v>
      </c>
      <c r="F14" s="2">
        <v>18</v>
      </c>
      <c r="G14" s="2" t="s">
        <v>91</v>
      </c>
    </row>
    <row r="15" spans="1:7">
      <c r="A15" s="5" t="s">
        <v>52</v>
      </c>
      <c r="B15" s="6" t="s">
        <v>53</v>
      </c>
      <c r="C15" s="6" t="s">
        <v>30</v>
      </c>
      <c r="D15" s="6" t="s">
        <v>97</v>
      </c>
      <c r="E15" s="5">
        <v>15</v>
      </c>
      <c r="F15" s="5">
        <v>25</v>
      </c>
      <c r="G15" s="5" t="s">
        <v>91</v>
      </c>
    </row>
    <row r="16" spans="1:7">
      <c r="A16" s="2" t="s">
        <v>54</v>
      </c>
      <c r="B16" s="3" t="s">
        <v>55</v>
      </c>
      <c r="C16" s="3" t="s">
        <v>14</v>
      </c>
      <c r="D16" s="3" t="s">
        <v>92</v>
      </c>
      <c r="E16" s="2">
        <v>30</v>
      </c>
      <c r="F16" s="2">
        <v>8</v>
      </c>
      <c r="G16" s="2" t="s">
        <v>91</v>
      </c>
    </row>
    <row r="17" spans="1:7">
      <c r="A17" s="5" t="s">
        <v>59</v>
      </c>
      <c r="B17" s="6" t="s">
        <v>60</v>
      </c>
      <c r="C17" s="6" t="s">
        <v>24</v>
      </c>
      <c r="D17" s="6" t="s">
        <v>94</v>
      </c>
      <c r="E17" s="5">
        <v>45</v>
      </c>
      <c r="F17" s="5">
        <v>5</v>
      </c>
      <c r="G17" s="5" t="s">
        <v>91</v>
      </c>
    </row>
    <row r="18" spans="1:7">
      <c r="A18" s="2" t="s">
        <v>56</v>
      </c>
      <c r="B18" s="3" t="s">
        <v>57</v>
      </c>
      <c r="C18" s="3" t="s">
        <v>38</v>
      </c>
      <c r="D18" s="3" t="s">
        <v>90</v>
      </c>
      <c r="E18" s="2">
        <v>20</v>
      </c>
      <c r="F18" s="2">
        <v>10</v>
      </c>
      <c r="G18" s="2" t="s">
        <v>91</v>
      </c>
    </row>
    <row r="19" spans="1:7">
      <c r="A19" s="5" t="s">
        <v>36</v>
      </c>
      <c r="B19" s="6" t="s">
        <v>37</v>
      </c>
      <c r="C19" s="6" t="s">
        <v>38</v>
      </c>
      <c r="D19" s="6" t="s">
        <v>98</v>
      </c>
      <c r="E19" s="5">
        <v>10</v>
      </c>
      <c r="F19" s="5">
        <v>30</v>
      </c>
      <c r="G19" s="5" t="s">
        <v>91</v>
      </c>
    </row>
    <row r="20" spans="1:7">
      <c r="A20" s="2" t="s">
        <v>39</v>
      </c>
      <c r="B20" s="3" t="s">
        <v>40</v>
      </c>
      <c r="C20" s="3" t="s">
        <v>38</v>
      </c>
      <c r="D20" s="3" t="s">
        <v>98</v>
      </c>
      <c r="E20" s="2">
        <v>15</v>
      </c>
      <c r="F20" s="2">
        <v>20</v>
      </c>
      <c r="G20" s="2" t="s">
        <v>91</v>
      </c>
    </row>
    <row r="21" spans="1:7">
      <c r="A21" s="5" t="s">
        <v>61</v>
      </c>
      <c r="B21" s="6" t="s">
        <v>62</v>
      </c>
      <c r="C21" s="6" t="s">
        <v>38</v>
      </c>
      <c r="D21" s="6" t="s">
        <v>95</v>
      </c>
      <c r="E21" s="5">
        <v>12</v>
      </c>
      <c r="F21" s="5">
        <v>15</v>
      </c>
      <c r="G21" s="5" t="s">
        <v>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A039-D93F-4077-AEFE-0B326C696A0B}">
  <dimension ref="A3:P12"/>
  <sheetViews>
    <sheetView workbookViewId="0">
      <selection activeCell="H30" sqref="H30"/>
    </sheetView>
  </sheetViews>
  <sheetFormatPr defaultRowHeight="15"/>
  <cols>
    <col min="1" max="1" width="11" bestFit="1" customWidth="1"/>
    <col min="2" max="3" width="18.28515625" bestFit="1" customWidth="1"/>
    <col min="4" max="4" width="14" bestFit="1" customWidth="1"/>
    <col min="5" max="6" width="15.7109375" bestFit="1" customWidth="1"/>
    <col min="7" max="7" width="18.28515625" bestFit="1" customWidth="1"/>
    <col min="8" max="8" width="22.5703125" bestFit="1" customWidth="1"/>
    <col min="9" max="9" width="8.140625" bestFit="1" customWidth="1"/>
    <col min="10" max="10" width="4.28515625" bestFit="1" customWidth="1"/>
    <col min="11" max="11" width="4.85546875" bestFit="1" customWidth="1"/>
    <col min="12" max="12" width="4.28515625" bestFit="1" customWidth="1"/>
    <col min="13" max="13" width="4.5703125" bestFit="1" customWidth="1"/>
    <col min="14" max="14" width="11" bestFit="1" customWidth="1"/>
    <col min="15" max="15" width="18.42578125" bestFit="1" customWidth="1"/>
    <col min="16" max="16" width="22.5703125" bestFit="1" customWidth="1"/>
    <col min="17" max="17" width="18.42578125" bestFit="1" customWidth="1"/>
    <col min="18" max="18" width="22.5703125" bestFit="1" customWidth="1"/>
    <col min="19" max="19" width="23.5703125" bestFit="1" customWidth="1"/>
    <col min="20" max="20" width="27.85546875" bestFit="1" customWidth="1"/>
    <col min="21" max="21" width="15.7109375" bestFit="1" customWidth="1"/>
    <col min="22" max="22" width="17.5703125" bestFit="1" customWidth="1"/>
    <col min="23" max="23" width="13.85546875" bestFit="1" customWidth="1"/>
    <col min="24" max="24" width="9.42578125" bestFit="1" customWidth="1"/>
    <col min="25" max="25" width="15.7109375" bestFit="1" customWidth="1"/>
    <col min="26" max="26" width="13.5703125" bestFit="1" customWidth="1"/>
    <col min="27" max="27" width="15" bestFit="1" customWidth="1"/>
    <col min="28" max="28" width="11" bestFit="1" customWidth="1"/>
  </cols>
  <sheetData>
    <row r="3" spans="1:16">
      <c r="A3" s="9" t="s">
        <v>4</v>
      </c>
      <c r="B3" t="s">
        <v>100</v>
      </c>
      <c r="F3" s="13" t="s">
        <v>2</v>
      </c>
      <c r="G3" s="12" t="s">
        <v>100</v>
      </c>
      <c r="H3" s="12" t="s">
        <v>101</v>
      </c>
      <c r="J3" s="9" t="s">
        <v>100</v>
      </c>
      <c r="K3" s="9" t="s">
        <v>4</v>
      </c>
    </row>
    <row r="4" spans="1:16">
      <c r="A4" t="s">
        <v>16</v>
      </c>
      <c r="B4" s="10">
        <v>16847.8</v>
      </c>
      <c r="F4" t="s">
        <v>14</v>
      </c>
      <c r="G4" s="10">
        <v>32072.1</v>
      </c>
      <c r="H4" s="11">
        <v>0.34196488452110452</v>
      </c>
      <c r="J4" s="9" t="s">
        <v>3</v>
      </c>
      <c r="K4" t="s">
        <v>16</v>
      </c>
      <c r="L4" t="s">
        <v>41</v>
      </c>
      <c r="M4" t="s">
        <v>58</v>
      </c>
      <c r="N4" t="s">
        <v>63</v>
      </c>
      <c r="O4" t="s">
        <v>64</v>
      </c>
      <c r="P4" t="s">
        <v>102</v>
      </c>
    </row>
    <row r="5" spans="1:16">
      <c r="A5" t="s">
        <v>41</v>
      </c>
      <c r="B5" s="10">
        <v>16641.7</v>
      </c>
      <c r="F5" t="s">
        <v>30</v>
      </c>
      <c r="G5" s="10">
        <v>18345.399999999998</v>
      </c>
      <c r="H5" s="11">
        <v>0.19560560713185199</v>
      </c>
      <c r="J5" t="s">
        <v>15</v>
      </c>
      <c r="K5" s="10">
        <v>4849.5</v>
      </c>
      <c r="L5" s="10">
        <v>3689.2999999999997</v>
      </c>
      <c r="M5" s="10">
        <v>3074.5</v>
      </c>
      <c r="N5" s="10">
        <v>5689.7</v>
      </c>
      <c r="O5" s="10">
        <v>6238.2999999999993</v>
      </c>
      <c r="P5" s="10">
        <v>23541.3</v>
      </c>
    </row>
    <row r="6" spans="1:16">
      <c r="A6" t="s">
        <v>58</v>
      </c>
      <c r="B6" s="10">
        <v>18818.5</v>
      </c>
      <c r="F6" t="s">
        <v>24</v>
      </c>
      <c r="G6" s="10">
        <v>31676.700000000004</v>
      </c>
      <c r="H6" s="11">
        <v>0.33774897987689217</v>
      </c>
      <c r="J6" t="s">
        <v>19</v>
      </c>
      <c r="K6" s="10">
        <v>5449.8</v>
      </c>
      <c r="L6" s="10">
        <v>4285.6000000000004</v>
      </c>
      <c r="M6" s="10">
        <v>5300.1</v>
      </c>
      <c r="N6" s="10">
        <v>5294.6</v>
      </c>
      <c r="O6" s="10">
        <v>3833.2000000000003</v>
      </c>
      <c r="P6" s="10">
        <v>24163.300000000003</v>
      </c>
    </row>
    <row r="7" spans="1:16">
      <c r="A7" t="s">
        <v>63</v>
      </c>
      <c r="B7" s="10">
        <v>18806.400000000001</v>
      </c>
      <c r="F7" t="s">
        <v>38</v>
      </c>
      <c r="G7" s="10">
        <v>11693.5</v>
      </c>
      <c r="H7" s="11">
        <v>0.12468052847015119</v>
      </c>
      <c r="J7" t="s">
        <v>25</v>
      </c>
      <c r="K7" s="10">
        <v>3055.5</v>
      </c>
      <c r="L7" s="10">
        <v>5670.4</v>
      </c>
      <c r="M7" s="10">
        <v>3349.3999999999996</v>
      </c>
      <c r="N7" s="10">
        <v>4281.8</v>
      </c>
      <c r="O7" s="10">
        <v>5137.5</v>
      </c>
      <c r="P7" s="10">
        <v>21494.6</v>
      </c>
    </row>
    <row r="8" spans="1:16">
      <c r="A8" t="s">
        <v>64</v>
      </c>
      <c r="B8" s="10">
        <v>22673.3</v>
      </c>
      <c r="F8" t="s">
        <v>102</v>
      </c>
      <c r="G8" s="10">
        <v>93787.700000000012</v>
      </c>
      <c r="H8" s="11">
        <v>1</v>
      </c>
      <c r="J8" t="s">
        <v>31</v>
      </c>
      <c r="K8" s="10">
        <v>3493</v>
      </c>
      <c r="L8" s="10">
        <v>2996.4</v>
      </c>
      <c r="M8" s="10">
        <v>7094.5</v>
      </c>
      <c r="N8" s="10">
        <v>3540.3</v>
      </c>
      <c r="O8" s="10">
        <v>7464.3</v>
      </c>
      <c r="P8" s="10">
        <v>24588.5</v>
      </c>
    </row>
    <row r="9" spans="1:16">
      <c r="A9" t="s">
        <v>102</v>
      </c>
      <c r="B9" s="10">
        <v>93787.7</v>
      </c>
      <c r="J9" t="s">
        <v>102</v>
      </c>
      <c r="K9" s="10">
        <v>16847.8</v>
      </c>
      <c r="L9" s="10">
        <v>16641.7</v>
      </c>
      <c r="M9" s="10">
        <v>18818.5</v>
      </c>
      <c r="N9" s="10">
        <v>18806.399999999998</v>
      </c>
      <c r="O9" s="10">
        <v>22673.3</v>
      </c>
      <c r="P9" s="10">
        <v>93787.700000000012</v>
      </c>
    </row>
    <row r="11" spans="1:16">
      <c r="A11" s="12"/>
      <c r="B11" s="12"/>
      <c r="C11" s="12"/>
    </row>
    <row r="12" spans="1:16">
      <c r="A12" s="12"/>
      <c r="B12" s="12"/>
      <c r="C12" s="12"/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C7450A869AAA428353EF9110662BE3" ma:contentTypeVersion="10" ma:contentTypeDescription="Crie um novo documento." ma:contentTypeScope="" ma:versionID="7eed160e0e13768f71ab7367e754c29e">
  <xsd:schema xmlns:xsd="http://www.w3.org/2001/XMLSchema" xmlns:xs="http://www.w3.org/2001/XMLSchema" xmlns:p="http://schemas.microsoft.com/office/2006/metadata/properties" xmlns:ns2="7972644b-e11e-455d-be70-2defe0570128" xmlns:ns3="69bd6adf-bfdd-44e3-b1ed-07f72d261028" targetNamespace="http://schemas.microsoft.com/office/2006/metadata/properties" ma:root="true" ma:fieldsID="66b756e7c32f5cf60670eb6506ec8749" ns2:_="" ns3:_="">
    <xsd:import namespace="7972644b-e11e-455d-be70-2defe0570128"/>
    <xsd:import namespace="69bd6adf-bfdd-44e3-b1ed-07f72d261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2644b-e11e-455d-be70-2defe05701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585a4dd-1a39-407d-a894-0767770456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6adf-bfdd-44e3-b1ed-07f72d2610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ebdfc10-9c40-435d-b8ec-cf3dff276cf4}" ma:internalName="TaxCatchAll" ma:showField="CatchAllData" ma:web="69bd6adf-bfdd-44e3-b1ed-07f72d2610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bd6adf-bfdd-44e3-b1ed-07f72d261028" xsi:nil="true"/>
    <lcf76f155ced4ddcb4097134ff3c332f xmlns="7972644b-e11e-455d-be70-2defe05701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FE4A32-39D7-469A-B620-A0A1A8DFBDF7}"/>
</file>

<file path=customXml/itemProps2.xml><?xml version="1.0" encoding="utf-8"?>
<ds:datastoreItem xmlns:ds="http://schemas.openxmlformats.org/officeDocument/2006/customXml" ds:itemID="{8E5CBD9B-C18E-4FB3-A2D5-F5A6415C85DA}"/>
</file>

<file path=customXml/itemProps3.xml><?xml version="1.0" encoding="utf-8"?>
<ds:datastoreItem xmlns:ds="http://schemas.openxmlformats.org/officeDocument/2006/customXml" ds:itemID="{CE140DB0-62DB-406E-87C4-E010D120FC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Ruth Marianne Silva Bezerra Xavier</cp:lastModifiedBy>
  <cp:revision>0</cp:revision>
  <dcterms:created xsi:type="dcterms:W3CDTF">2026-05-23T15:24:51Z</dcterms:created>
  <dcterms:modified xsi:type="dcterms:W3CDTF">2026-06-07T21:17:07Z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0x0101007FC7450A869AAA428353EF9110662BE3</vt:lpwstr>
  </property>
  <property fmtid="{D5CDD505-2E9C-101B-9397-08002B2CF9AE}" pid="3" name="MediaServiceImageTags">
    <vt:lpwstr/>
  </property>
</Properties>
</file>