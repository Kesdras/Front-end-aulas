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cpernambuco-my.sharepoint.com/personal/kalleby_lima6468383_edu_pe_senac_br/Documents/"/>
    </mc:Choice>
  </mc:AlternateContent>
  <xr:revisionPtr revIDLastSave="203" documentId="11_92485C45C1F39E42E268565A893E8C18510380CC" xr6:coauthVersionLast="47" xr6:coauthVersionMax="47" xr10:uidLastSave="{A4B36B9E-6B7B-4582-B0BF-877DA0C8AFE9}"/>
  <bookViews>
    <workbookView xWindow="-12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G19" i="1"/>
  <c r="J8" i="1"/>
  <c r="H11" i="1"/>
  <c r="H10" i="1"/>
  <c r="H9" i="1"/>
  <c r="H8" i="1"/>
  <c r="H7" i="1"/>
  <c r="H6" i="1"/>
  <c r="H5" i="1"/>
  <c r="H2" i="1"/>
  <c r="H4" i="1"/>
  <c r="H3" i="1"/>
  <c r="J24" i="1"/>
  <c r="O12" i="1"/>
  <c r="O8" i="1"/>
  <c r="L18" i="1"/>
  <c r="J18" i="1"/>
  <c r="L13" i="1"/>
  <c r="J13" i="1"/>
  <c r="L8" i="1"/>
</calcChain>
</file>

<file path=xl/sharedStrings.xml><?xml version="1.0" encoding="utf-8"?>
<sst xmlns="http://schemas.openxmlformats.org/spreadsheetml/2006/main" count="55" uniqueCount="45">
  <si>
    <t>Matrícula</t>
  </si>
  <si>
    <t>Nome</t>
  </si>
  <si>
    <t>Turma</t>
  </si>
  <si>
    <t>Matemática</t>
  </si>
  <si>
    <t>Português</t>
  </si>
  <si>
    <t>Ciências</t>
  </si>
  <si>
    <t>Faltas</t>
  </si>
  <si>
    <t>Média</t>
  </si>
  <si>
    <t>AL001</t>
  </si>
  <si>
    <t>Amanda Almeida</t>
  </si>
  <si>
    <t>A</t>
  </si>
  <si>
    <t>AL002</t>
  </si>
  <si>
    <t>Ana Beatriz Costa</t>
  </si>
  <si>
    <t>B</t>
  </si>
  <si>
    <t>AL003</t>
  </si>
  <si>
    <t>André Barbosa</t>
  </si>
  <si>
    <t>AL004</t>
  </si>
  <si>
    <t>Antônio Carvalho</t>
  </si>
  <si>
    <t>AL005</t>
  </si>
  <si>
    <t>Beatriz Ferreira</t>
  </si>
  <si>
    <t xml:space="preserve">soma e subtração </t>
  </si>
  <si>
    <t>CONCATENAR</t>
  </si>
  <si>
    <t>AL006</t>
  </si>
  <si>
    <t>Bianca Gomes</t>
  </si>
  <si>
    <t>Total de Pontos</t>
  </si>
  <si>
    <t>Diferença MAT-PORT</t>
  </si>
  <si>
    <t>Indentificação</t>
  </si>
  <si>
    <t>AL007</t>
  </si>
  <si>
    <t>Bruno Lima</t>
  </si>
  <si>
    <t>C</t>
  </si>
  <si>
    <t>AL008</t>
  </si>
  <si>
    <t>Camila Martins</t>
  </si>
  <si>
    <t>AL009</t>
  </si>
  <si>
    <t>Carlos Rocha</t>
  </si>
  <si>
    <t>AL010</t>
  </si>
  <si>
    <t>Carolina Nunes</t>
  </si>
  <si>
    <t>Multiplicação e divisão</t>
  </si>
  <si>
    <t xml:space="preserve">SE / IF </t>
  </si>
  <si>
    <t>Média Parcial</t>
  </si>
  <si>
    <t>Máximo e mínimo</t>
  </si>
  <si>
    <t>Maior Nota - MAT</t>
  </si>
  <si>
    <t>Menor Nota - MAT</t>
  </si>
  <si>
    <t>2ª maior nota (Português)</t>
  </si>
  <si>
    <t>3ª menor nota (Ciências)</t>
  </si>
  <si>
    <t>Média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</si>
</sst>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_-;\-* #,##0.0_-;_-* &quot;-&quot;??_-;_-@_-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3" borderId="0" xfId="0" applyFill="1"/>
    <xf numFmtId="0" fontId="0" fillId="2" borderId="7" xfId="0" applyFill="1" applyBorder="1"/>
    <xf numFmtId="0" fontId="1" fillId="2" borderId="7" xfId="0" applyFont="1" applyFill="1" applyBorder="1"/>
    <xf numFmtId="0" fontId="5" fillId="3" borderId="0" xfId="0" applyFont="1" applyFill="1"/>
    <xf numFmtId="0" fontId="1" fillId="2" borderId="7" xfId="0" applyFont="1" applyFill="1" applyBorder="1" applyAlignment="1">
      <alignment horizontal="center"/>
    </xf>
    <xf numFmtId="0" fontId="0" fillId="3" borderId="7" xfId="0" applyFill="1" applyBorder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1" fillId="2" borderId="19" xfId="0" applyFont="1" applyFill="1" applyBorder="1"/>
    <xf numFmtId="0" fontId="1" fillId="2" borderId="19" xfId="0" applyFont="1" applyFill="1" applyBorder="1" applyAlignment="1">
      <alignment horizontal="center"/>
    </xf>
    <xf numFmtId="0" fontId="2" fillId="5" borderId="21" xfId="0" applyFont="1" applyFill="1" applyBorder="1"/>
    <xf numFmtId="0" fontId="2" fillId="5" borderId="22" xfId="0" applyFont="1" applyFill="1" applyBorder="1"/>
    <xf numFmtId="0" fontId="3" fillId="5" borderId="22" xfId="0" applyFont="1" applyFill="1" applyBorder="1"/>
    <xf numFmtId="164" fontId="4" fillId="5" borderId="23" xfId="0" applyNumberFormat="1" applyFont="1" applyFill="1" applyBorder="1"/>
    <xf numFmtId="164" fontId="0" fillId="3" borderId="0" xfId="0" applyNumberFormat="1" applyFill="1"/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164" fontId="0" fillId="6" borderId="19" xfId="0" applyNumberForma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0" fontId="0" fillId="7" borderId="0" xfId="0" applyFill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topLeftCell="A4" workbookViewId="0">
      <selection activeCell="E17" sqref="E17:H18"/>
    </sheetView>
  </sheetViews>
  <sheetFormatPr defaultRowHeight="15"/>
  <cols>
    <col min="1" max="1" width="9.140625" style="1"/>
    <col min="2" max="2" width="16.42578125" style="1" bestFit="1" customWidth="1"/>
    <col min="3" max="3" width="9.140625" style="1"/>
    <col min="4" max="4" width="11.85546875" style="1" bestFit="1" customWidth="1"/>
    <col min="5" max="5" width="10.140625" style="1" bestFit="1" customWidth="1"/>
    <col min="6" max="7" width="9.140625" style="1"/>
    <col min="8" max="8" width="9.140625" style="33"/>
    <col min="9" max="16384" width="9.140625" style="1"/>
  </cols>
  <sheetData>
    <row r="1" spans="1:18" ht="15.75">
      <c r="A1" s="29" t="s">
        <v>0</v>
      </c>
      <c r="B1" s="30" t="s">
        <v>1</v>
      </c>
      <c r="C1" s="31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2" t="s">
        <v>7</v>
      </c>
    </row>
    <row r="2" spans="1:18">
      <c r="A2" s="27" t="s">
        <v>8</v>
      </c>
      <c r="B2" s="28" t="s">
        <v>9</v>
      </c>
      <c r="C2" s="28" t="s">
        <v>10</v>
      </c>
      <c r="D2" s="28">
        <v>8</v>
      </c>
      <c r="E2" s="28">
        <v>6</v>
      </c>
      <c r="F2" s="28">
        <v>4</v>
      </c>
      <c r="G2" s="34">
        <v>3</v>
      </c>
      <c r="H2" s="36">
        <f>AVERAGE(D2:F2)</f>
        <v>6</v>
      </c>
    </row>
    <row r="3" spans="1:18">
      <c r="A3" s="3" t="s">
        <v>11</v>
      </c>
      <c r="B3" s="5" t="s">
        <v>12</v>
      </c>
      <c r="C3" s="5" t="s">
        <v>13</v>
      </c>
      <c r="D3" s="5">
        <v>2</v>
      </c>
      <c r="E3" s="5">
        <v>4</v>
      </c>
      <c r="F3" s="5">
        <v>7</v>
      </c>
      <c r="G3" s="35">
        <v>8</v>
      </c>
      <c r="H3" s="37">
        <f>AVERAGE(D3:F3)</f>
        <v>4.333333333333333</v>
      </c>
    </row>
    <row r="4" spans="1:18">
      <c r="A4" s="3" t="s">
        <v>14</v>
      </c>
      <c r="B4" s="5" t="s">
        <v>15</v>
      </c>
      <c r="C4" s="5" t="s">
        <v>10</v>
      </c>
      <c r="D4" s="5">
        <v>9</v>
      </c>
      <c r="E4" s="5">
        <v>8</v>
      </c>
      <c r="F4" s="5">
        <v>8</v>
      </c>
      <c r="G4" s="35">
        <v>1</v>
      </c>
      <c r="H4" s="37">
        <f>AVERAGE(D4:F4)</f>
        <v>8.3333333333333339</v>
      </c>
    </row>
    <row r="5" spans="1:18">
      <c r="A5" s="3" t="s">
        <v>16</v>
      </c>
      <c r="B5" s="5" t="s">
        <v>17</v>
      </c>
      <c r="C5" s="5" t="s">
        <v>13</v>
      </c>
      <c r="D5" s="5">
        <v>6</v>
      </c>
      <c r="E5" s="5">
        <v>6</v>
      </c>
      <c r="F5" s="5">
        <v>7</v>
      </c>
      <c r="G5" s="35">
        <v>2</v>
      </c>
      <c r="H5" s="37">
        <f>AVERAGE(D5:F5)</f>
        <v>6.333333333333333</v>
      </c>
    </row>
    <row r="6" spans="1:18">
      <c r="A6" s="3" t="s">
        <v>18</v>
      </c>
      <c r="B6" s="5" t="s">
        <v>19</v>
      </c>
      <c r="C6" s="5" t="s">
        <v>13</v>
      </c>
      <c r="D6" s="5">
        <v>7</v>
      </c>
      <c r="E6" s="5">
        <v>8</v>
      </c>
      <c r="F6" s="5">
        <v>9</v>
      </c>
      <c r="G6" s="35">
        <v>1</v>
      </c>
      <c r="H6" s="37">
        <f>AVERAGE(D6:F6)</f>
        <v>8</v>
      </c>
      <c r="J6" s="7" t="s">
        <v>20</v>
      </c>
      <c r="K6" s="8"/>
      <c r="L6" s="8"/>
      <c r="M6" s="9"/>
      <c r="O6" s="7" t="s">
        <v>21</v>
      </c>
      <c r="P6" s="8"/>
      <c r="Q6" s="8"/>
      <c r="R6" s="9"/>
    </row>
    <row r="7" spans="1:18">
      <c r="A7" s="3" t="s">
        <v>22</v>
      </c>
      <c r="B7" s="5" t="s">
        <v>23</v>
      </c>
      <c r="C7" s="5" t="s">
        <v>10</v>
      </c>
      <c r="D7" s="5">
        <v>4</v>
      </c>
      <c r="E7" s="5">
        <v>7</v>
      </c>
      <c r="F7" s="5">
        <v>5</v>
      </c>
      <c r="G7" s="35">
        <v>4</v>
      </c>
      <c r="H7" s="37">
        <f>AVERAGE(D7:F7)</f>
        <v>5.333333333333333</v>
      </c>
      <c r="J7" s="10" t="s">
        <v>24</v>
      </c>
      <c r="K7" s="11"/>
      <c r="L7" s="16" t="s">
        <v>25</v>
      </c>
      <c r="M7" s="17"/>
      <c r="O7" s="10" t="s">
        <v>26</v>
      </c>
      <c r="P7" s="18"/>
      <c r="Q7" s="18"/>
      <c r="R7" s="17"/>
    </row>
    <row r="8" spans="1:18">
      <c r="A8" s="3" t="s">
        <v>27</v>
      </c>
      <c r="B8" s="5" t="s">
        <v>28</v>
      </c>
      <c r="C8" s="5" t="s">
        <v>29</v>
      </c>
      <c r="D8" s="5">
        <v>10</v>
      </c>
      <c r="E8" s="5">
        <v>10</v>
      </c>
      <c r="F8" s="5">
        <v>9</v>
      </c>
      <c r="G8" s="35">
        <v>0</v>
      </c>
      <c r="H8" s="37">
        <f>AVERAGE(D8:F8)</f>
        <v>9.6666666666666661</v>
      </c>
      <c r="J8" s="12">
        <f>SUM(D2:F2)</f>
        <v>18</v>
      </c>
      <c r="K8" s="13"/>
      <c r="L8" s="14">
        <f>D2-E2</f>
        <v>2</v>
      </c>
      <c r="M8" s="15"/>
      <c r="O8" s="12" t="str">
        <f>_xlfn.CONCAT(A2,"-",B2)</f>
        <v>AL001-Amanda Almeida</v>
      </c>
      <c r="P8" s="19"/>
      <c r="Q8" s="19"/>
      <c r="R8" s="15"/>
    </row>
    <row r="9" spans="1:18">
      <c r="A9" s="3" t="s">
        <v>30</v>
      </c>
      <c r="B9" s="5" t="s">
        <v>31</v>
      </c>
      <c r="C9" s="5" t="s">
        <v>10</v>
      </c>
      <c r="D9" s="5">
        <v>5</v>
      </c>
      <c r="E9" s="5">
        <v>7</v>
      </c>
      <c r="F9" s="5">
        <v>6</v>
      </c>
      <c r="G9" s="35">
        <v>1</v>
      </c>
      <c r="H9" s="37">
        <f>AVERAGE(D9:F9)</f>
        <v>6</v>
      </c>
    </row>
    <row r="10" spans="1:18">
      <c r="A10" s="3" t="s">
        <v>32</v>
      </c>
      <c r="B10" s="5" t="s">
        <v>33</v>
      </c>
      <c r="C10" s="5" t="s">
        <v>29</v>
      </c>
      <c r="D10" s="5">
        <v>7</v>
      </c>
      <c r="E10" s="5">
        <v>8</v>
      </c>
      <c r="F10" s="5">
        <v>9</v>
      </c>
      <c r="G10" s="35">
        <v>2</v>
      </c>
      <c r="H10" s="37">
        <f>AVERAGE(D10:F10)</f>
        <v>8</v>
      </c>
    </row>
    <row r="11" spans="1:18">
      <c r="A11" s="3" t="s">
        <v>34</v>
      </c>
      <c r="B11" s="5" t="s">
        <v>35</v>
      </c>
      <c r="C11" s="5" t="s">
        <v>29</v>
      </c>
      <c r="D11" s="5">
        <v>8</v>
      </c>
      <c r="E11" s="5">
        <v>9</v>
      </c>
      <c r="F11" s="5">
        <v>10</v>
      </c>
      <c r="G11" s="35">
        <v>0</v>
      </c>
      <c r="H11" s="37">
        <f>AVERAGE(D11:F11)</f>
        <v>9</v>
      </c>
      <c r="J11" s="7" t="s">
        <v>36</v>
      </c>
      <c r="K11" s="8"/>
      <c r="L11" s="8"/>
      <c r="M11" s="9"/>
      <c r="O11" s="21" t="s">
        <v>37</v>
      </c>
      <c r="P11" s="22"/>
      <c r="Q11" s="22"/>
      <c r="R11" s="23"/>
    </row>
    <row r="12" spans="1:18">
      <c r="J12" s="10" t="s">
        <v>6</v>
      </c>
      <c r="K12" s="11"/>
      <c r="L12" s="16" t="s">
        <v>38</v>
      </c>
      <c r="M12" s="17"/>
      <c r="O12" s="24" t="str">
        <f>IF(H8&gt;=7,"Aprovado","Reprovado")</f>
        <v>Aprovado</v>
      </c>
      <c r="P12" s="25"/>
      <c r="Q12" s="25"/>
      <c r="R12" s="26"/>
    </row>
    <row r="13" spans="1:18">
      <c r="J13" s="12">
        <f>G2*4</f>
        <v>12</v>
      </c>
      <c r="K13" s="13"/>
      <c r="L13" s="14">
        <f>D2/2</f>
        <v>4</v>
      </c>
      <c r="M13" s="15"/>
      <c r="O13" s="20"/>
      <c r="P13" s="20"/>
      <c r="Q13" s="20"/>
      <c r="R13" s="20"/>
    </row>
    <row r="14" spans="1:18">
      <c r="J14" s="4"/>
      <c r="K14" s="4"/>
      <c r="L14" s="4"/>
      <c r="M14" s="4"/>
      <c r="O14" s="6"/>
      <c r="P14" s="2"/>
      <c r="Q14" s="2"/>
      <c r="R14" s="2"/>
    </row>
    <row r="15" spans="1:18">
      <c r="J15" s="4"/>
      <c r="K15" s="4"/>
      <c r="L15" s="4"/>
      <c r="M15" s="4"/>
      <c r="O15" s="2"/>
      <c r="P15" s="2"/>
      <c r="Q15" s="2"/>
      <c r="R15" s="2"/>
    </row>
    <row r="16" spans="1:18">
      <c r="E16" s="21" t="s">
        <v>39</v>
      </c>
      <c r="F16" s="42"/>
      <c r="G16" s="42"/>
      <c r="H16" s="43"/>
      <c r="J16" s="7" t="s">
        <v>39</v>
      </c>
      <c r="K16" s="8"/>
      <c r="L16" s="8"/>
      <c r="M16" s="9"/>
    </row>
    <row r="17" spans="5:13">
      <c r="E17" s="38"/>
      <c r="F17" s="38"/>
      <c r="G17" s="38"/>
      <c r="H17" s="38"/>
      <c r="J17" s="10" t="s">
        <v>40</v>
      </c>
      <c r="K17" s="11"/>
      <c r="L17" s="16" t="s">
        <v>41</v>
      </c>
      <c r="M17" s="17"/>
    </row>
    <row r="18" spans="5:13">
      <c r="E18" s="44" t="s">
        <v>42</v>
      </c>
      <c r="F18" s="47"/>
      <c r="G18" s="45" t="s">
        <v>43</v>
      </c>
      <c r="H18" s="46"/>
      <c r="J18" s="12">
        <f>MAX(D2:D11)</f>
        <v>10</v>
      </c>
      <c r="K18" s="13"/>
      <c r="L18" s="14">
        <f>MIN(D2:D11)</f>
        <v>2</v>
      </c>
      <c r="M18" s="15"/>
    </row>
    <row r="19" spans="5:13">
      <c r="E19" s="39" t="e">
        <f>LARGE(#REF!,2)</f>
        <v>#REF!</v>
      </c>
      <c r="F19" s="40"/>
      <c r="G19" s="40" t="e">
        <f>SMALL(#REF!,3)</f>
        <v>#REF!</v>
      </c>
      <c r="H19" s="41"/>
    </row>
    <row r="22" spans="5:13">
      <c r="J22" s="7" t="s">
        <v>7</v>
      </c>
      <c r="K22" s="8"/>
      <c r="L22" s="8"/>
      <c r="M22" s="9"/>
    </row>
    <row r="23" spans="5:13">
      <c r="J23" s="10" t="s">
        <v>44</v>
      </c>
      <c r="K23" s="18"/>
      <c r="L23" s="18"/>
      <c r="M23" s="17"/>
    </row>
    <row r="24" spans="5:13">
      <c r="J24" s="12">
        <f>AVERAGE(D2:F2)</f>
        <v>6</v>
      </c>
      <c r="K24" s="19"/>
      <c r="L24" s="19"/>
      <c r="M24" s="15"/>
    </row>
  </sheetData>
  <mergeCells count="29">
    <mergeCell ref="E16:H16"/>
    <mergeCell ref="E18:F18"/>
    <mergeCell ref="G18:H18"/>
    <mergeCell ref="E19:F19"/>
    <mergeCell ref="G19:H19"/>
    <mergeCell ref="O13:R13"/>
    <mergeCell ref="O6:R6"/>
    <mergeCell ref="O7:R7"/>
    <mergeCell ref="O8:R8"/>
    <mergeCell ref="O11:R11"/>
    <mergeCell ref="O12:R12"/>
    <mergeCell ref="J23:M23"/>
    <mergeCell ref="J24:M24"/>
    <mergeCell ref="J16:M16"/>
    <mergeCell ref="J17:K17"/>
    <mergeCell ref="L17:M17"/>
    <mergeCell ref="J18:K18"/>
    <mergeCell ref="L18:M18"/>
    <mergeCell ref="J22:M22"/>
    <mergeCell ref="J11:M11"/>
    <mergeCell ref="J12:K12"/>
    <mergeCell ref="L12:M12"/>
    <mergeCell ref="L13:M13"/>
    <mergeCell ref="J13:K13"/>
    <mergeCell ref="J6:M6"/>
    <mergeCell ref="J7:K7"/>
    <mergeCell ref="J8:K8"/>
    <mergeCell ref="L8:M8"/>
    <mergeCell ref="L7:M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KALLEBY ESDRAS AGUIAR DE LIMA</cp:lastModifiedBy>
  <cp:revision/>
  <dcterms:created xsi:type="dcterms:W3CDTF">2026-06-02T23:27:53Z</dcterms:created>
  <dcterms:modified xsi:type="dcterms:W3CDTF">2026-06-03T22:13:35Z</dcterms:modified>
  <cp:category/>
  <cp:contentStatus/>
</cp:coreProperties>
</file>