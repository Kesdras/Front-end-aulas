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3FEC2E4E-7F7D-4370-ACD4-453C75902D6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7" i="1" l="1"/>
  <c r="S17" i="1"/>
  <c r="S19" i="1"/>
  <c r="N20" i="1"/>
  <c r="I9" i="1"/>
  <c r="I4" i="1"/>
  <c r="S12" i="1"/>
  <c r="S7" i="1"/>
  <c r="S4" i="1"/>
  <c r="N4" i="1"/>
  <c r="H3" i="1"/>
  <c r="H4" i="1"/>
  <c r="H5" i="1"/>
  <c r="H6" i="1"/>
  <c r="H7" i="1"/>
  <c r="H8" i="1"/>
  <c r="H9" i="1"/>
  <c r="H10" i="1"/>
  <c r="H11" i="1"/>
  <c r="H2" i="1"/>
  <c r="I26" i="1"/>
  <c r="K21" i="1"/>
  <c r="I21" i="1"/>
  <c r="K4" i="1"/>
  <c r="K9" i="1"/>
  <c r="N16" i="1"/>
  <c r="K14" i="1"/>
  <c r="I14" i="1"/>
  <c r="N12" i="1"/>
  <c r="N7" i="1"/>
</calcChain>
</file>

<file path=xl/sharedStrings.xml><?xml version="1.0" encoding="utf-8"?>
<sst xmlns="http://schemas.openxmlformats.org/spreadsheetml/2006/main" count="80" uniqueCount="67">
  <si>
    <t>Matrícula</t>
  </si>
  <si>
    <t>Nome</t>
  </si>
  <si>
    <t>Turma</t>
  </si>
  <si>
    <t>Matemática</t>
  </si>
  <si>
    <t>Português</t>
  </si>
  <si>
    <t>Ciências</t>
  </si>
  <si>
    <t>Faltas</t>
  </si>
  <si>
    <t>MÉDIA FINAL</t>
  </si>
  <si>
    <t>SOMA E SUBTRAÇÃO</t>
  </si>
  <si>
    <t>CONCATENAR</t>
  </si>
  <si>
    <t>ESQUERDA E DIREITA</t>
  </si>
  <si>
    <t>AL001</t>
  </si>
  <si>
    <t>Amanda Almeida</t>
  </si>
  <si>
    <t>A</t>
  </si>
  <si>
    <t>AL002</t>
  </si>
  <si>
    <t>Ana Beatriz Costa</t>
  </si>
  <si>
    <t>B</t>
  </si>
  <si>
    <t>Total de pontos</t>
  </si>
  <si>
    <t>Diferença Mat-Port</t>
  </si>
  <si>
    <t>Identificação</t>
  </si>
  <si>
    <t>Extrair Letras</t>
  </si>
  <si>
    <t>AL003</t>
  </si>
  <si>
    <t>André Barbosa</t>
  </si>
  <si>
    <t>AL004</t>
  </si>
  <si>
    <t>Antônio Carvalho</t>
  </si>
  <si>
    <t>OU</t>
  </si>
  <si>
    <t>E</t>
  </si>
  <si>
    <t>AL005</t>
  </si>
  <si>
    <t>Beatriz Ferreira</t>
  </si>
  <si>
    <t>MULTIPLICAÇÃO E DIVISÃO</t>
  </si>
  <si>
    <t>Extrair Números</t>
  </si>
  <si>
    <t>AL006</t>
  </si>
  <si>
    <t>Bianca Gomes</t>
  </si>
  <si>
    <t>Cada falta equivale a 4 horas</t>
  </si>
  <si>
    <t>AL007</t>
  </si>
  <si>
    <t>Bruno Lima</t>
  </si>
  <si>
    <t>C</t>
  </si>
  <si>
    <t>Carga horária (falta)</t>
  </si>
  <si>
    <t>Média Parcial</t>
  </si>
  <si>
    <t>AL008</t>
  </si>
  <si>
    <t>Camila Martins</t>
  </si>
  <si>
    <r>
      <rPr>
        <b/>
        <sz val="14"/>
        <color rgb="FFFFFFFF"/>
        <rFont val="Calibri"/>
        <scheme val="minor"/>
      </rPr>
      <t xml:space="preserve">SOMA </t>
    </r>
    <r>
      <rPr>
        <b/>
        <i/>
        <sz val="14"/>
        <color rgb="FFFFFFFF"/>
        <rFont val="Calibri"/>
        <scheme val="minor"/>
      </rPr>
      <t>SE</t>
    </r>
  </si>
  <si>
    <t>EXT.TEXTO</t>
  </si>
  <si>
    <t>AL009</t>
  </si>
  <si>
    <t>Carlos Rocha</t>
  </si>
  <si>
    <t>AL010</t>
  </si>
  <si>
    <t>Carolina Nunes</t>
  </si>
  <si>
    <t>MÁXIMO E MÍNIMO</t>
  </si>
  <si>
    <t>Qual o total de faltas com + de 5 faltas?</t>
  </si>
  <si>
    <t>Extrair apenas os números da matrícula</t>
  </si>
  <si>
    <t>Maior nota (matemática)</t>
  </si>
  <si>
    <t>Menor nota (matemática)</t>
  </si>
  <si>
    <t>Somar notas de Matemática dos alunos com nota acima de 7</t>
  </si>
  <si>
    <t>PROCV</t>
  </si>
  <si>
    <t>PROCX</t>
  </si>
  <si>
    <t>Qual a turma do aluno a baixo?</t>
  </si>
  <si>
    <t>Qual a média final do aluno a baixo?</t>
  </si>
  <si>
    <t>SE</t>
  </si>
  <si>
    <t xml:space="preserve"> </t>
  </si>
  <si>
    <t>2ª maior nota (Português)</t>
  </si>
  <si>
    <t>3ª menor nota (Ciências)</t>
  </si>
  <si>
    <t>Regra</t>
  </si>
  <si>
    <t>Média &gt;= 7</t>
  </si>
  <si>
    <t>Média &lt; 7</t>
  </si>
  <si>
    <t>MÉDIA</t>
  </si>
  <si>
    <t>Aprovado</t>
  </si>
  <si>
    <t>Reprovado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</si>
</sst>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FFFFFF"/>
      <name val="Calibri"/>
      <scheme val="minor"/>
    </font>
    <font>
      <b/>
      <i/>
      <sz val="14"/>
      <color rgb="FFFFFFFF"/>
      <name val="Calibri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0" fillId="6" borderId="6" xfId="0" applyNumberFormat="1" applyFill="1" applyBorder="1" applyAlignment="1">
      <alignment horizontal="center" vertical="center"/>
    </xf>
    <xf numFmtId="164" fontId="0" fillId="6" borderId="9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0" fillId="0" borderId="33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6"/>
  <sheetViews>
    <sheetView showGridLines="0" tabSelected="1" topLeftCell="Q1" workbookViewId="0">
      <selection activeCell="X17" sqref="X17:AA17"/>
    </sheetView>
  </sheetViews>
  <sheetFormatPr defaultColWidth="14.5703125" defaultRowHeight="15"/>
  <cols>
    <col min="1" max="2" width="14.5703125" style="4"/>
    <col min="3" max="3" width="14.5703125" style="1"/>
    <col min="4" max="7" width="14.5703125" style="4"/>
    <col min="8" max="16384" width="14.5703125" style="1"/>
  </cols>
  <sheetData>
    <row r="1" spans="1:30" ht="21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2" t="s">
        <v>7</v>
      </c>
      <c r="I1" s="51" t="s">
        <v>8</v>
      </c>
      <c r="J1" s="51"/>
      <c r="K1" s="51"/>
      <c r="L1" s="51"/>
      <c r="N1" s="51" t="s">
        <v>9</v>
      </c>
      <c r="O1" s="51"/>
      <c r="P1" s="51"/>
      <c r="Q1" s="51"/>
      <c r="S1" s="51" t="s">
        <v>10</v>
      </c>
      <c r="T1" s="51"/>
      <c r="U1" s="51"/>
      <c r="V1" s="51"/>
      <c r="X1" s="21"/>
      <c r="Y1" s="21"/>
      <c r="AA1" s="24"/>
      <c r="AB1" s="24"/>
      <c r="AC1" s="24"/>
      <c r="AD1" s="24"/>
    </row>
    <row r="2" spans="1:30" ht="19.5" customHeight="1">
      <c r="A2" s="5" t="s">
        <v>11</v>
      </c>
      <c r="B2" s="6" t="s">
        <v>12</v>
      </c>
      <c r="C2" s="6" t="s">
        <v>13</v>
      </c>
      <c r="D2" s="13">
        <v>8</v>
      </c>
      <c r="E2" s="13">
        <v>6</v>
      </c>
      <c r="F2" s="13">
        <v>4</v>
      </c>
      <c r="G2" s="13">
        <v>3</v>
      </c>
      <c r="H2" s="15">
        <f>AVERAGE(D2:F2)</f>
        <v>6</v>
      </c>
      <c r="X2" s="23"/>
      <c r="Y2" s="23"/>
      <c r="AA2" s="4"/>
      <c r="AB2" s="4"/>
      <c r="AC2" s="4"/>
      <c r="AD2" s="4"/>
    </row>
    <row r="3" spans="1:30" ht="19.5" customHeight="1">
      <c r="A3" s="5" t="s">
        <v>14</v>
      </c>
      <c r="B3" s="6" t="s">
        <v>15</v>
      </c>
      <c r="C3" s="6" t="s">
        <v>16</v>
      </c>
      <c r="D3" s="13">
        <v>2</v>
      </c>
      <c r="E3" s="13">
        <v>4</v>
      </c>
      <c r="F3" s="13">
        <v>7</v>
      </c>
      <c r="G3" s="13">
        <v>8</v>
      </c>
      <c r="H3" s="15">
        <f t="shared" ref="H3:H11" si="0">AVERAGE(D3:F3)</f>
        <v>4.333333333333333</v>
      </c>
      <c r="I3" s="89" t="s">
        <v>17</v>
      </c>
      <c r="J3" s="68"/>
      <c r="K3" s="68" t="s">
        <v>18</v>
      </c>
      <c r="L3" s="69"/>
      <c r="N3" s="52" t="s">
        <v>19</v>
      </c>
      <c r="O3" s="53"/>
      <c r="P3" s="53"/>
      <c r="Q3" s="54"/>
      <c r="S3" s="52" t="s">
        <v>20</v>
      </c>
      <c r="T3" s="53"/>
      <c r="U3" s="53"/>
      <c r="V3" s="54"/>
      <c r="X3" s="23"/>
      <c r="Y3" s="23"/>
      <c r="AA3" s="11"/>
      <c r="AB3" s="11"/>
      <c r="AC3" s="11"/>
      <c r="AD3" s="11"/>
    </row>
    <row r="4" spans="1:30" ht="19.5" customHeight="1">
      <c r="A4" s="5" t="s">
        <v>21</v>
      </c>
      <c r="B4" s="6" t="s">
        <v>22</v>
      </c>
      <c r="C4" s="6" t="s">
        <v>13</v>
      </c>
      <c r="D4" s="13">
        <v>9</v>
      </c>
      <c r="E4" s="13">
        <v>8</v>
      </c>
      <c r="F4" s="13">
        <v>8</v>
      </c>
      <c r="G4" s="13">
        <v>1</v>
      </c>
      <c r="H4" s="15">
        <f t="shared" si="0"/>
        <v>8.3333333333333339</v>
      </c>
      <c r="I4" s="90">
        <f>SUM(D2:F2)</f>
        <v>18</v>
      </c>
      <c r="J4" s="47"/>
      <c r="K4" s="47">
        <f>D2-E2</f>
        <v>2</v>
      </c>
      <c r="L4" s="48"/>
      <c r="N4" s="55" t="str">
        <f>_xlfn.CONCAT(A2, "-", B2)</f>
        <v>AL001-Amanda Almeida</v>
      </c>
      <c r="O4" s="56"/>
      <c r="P4" s="56"/>
      <c r="Q4" s="57"/>
      <c r="S4" s="55" t="str">
        <f>LEFT(A2,2)</f>
        <v>AL</v>
      </c>
      <c r="T4" s="56"/>
      <c r="U4" s="56"/>
      <c r="V4" s="57"/>
      <c r="X4" s="23"/>
      <c r="Y4" s="23"/>
    </row>
    <row r="5" spans="1:30" ht="19.5" customHeight="1">
      <c r="A5" s="5" t="s">
        <v>23</v>
      </c>
      <c r="B5" s="6" t="s">
        <v>24</v>
      </c>
      <c r="C5" s="6" t="s">
        <v>16</v>
      </c>
      <c r="D5" s="13">
        <v>6</v>
      </c>
      <c r="E5" s="13">
        <v>6</v>
      </c>
      <c r="F5" s="13">
        <v>7</v>
      </c>
      <c r="G5" s="13">
        <v>2</v>
      </c>
      <c r="H5" s="15">
        <f t="shared" si="0"/>
        <v>6.333333333333333</v>
      </c>
      <c r="N5" s="58" t="s">
        <v>25</v>
      </c>
      <c r="O5" s="59"/>
      <c r="P5" s="59"/>
      <c r="Q5" s="60"/>
      <c r="S5" s="58" t="s">
        <v>26</v>
      </c>
      <c r="T5" s="59"/>
      <c r="U5" s="59"/>
      <c r="V5" s="60"/>
      <c r="X5" s="23"/>
      <c r="Y5" s="23"/>
    </row>
    <row r="6" spans="1:30" ht="19.5" customHeight="1">
      <c r="A6" s="5" t="s">
        <v>27</v>
      </c>
      <c r="B6" s="6" t="s">
        <v>28</v>
      </c>
      <c r="C6" s="6" t="s">
        <v>16</v>
      </c>
      <c r="D6" s="13">
        <v>7</v>
      </c>
      <c r="E6" s="13">
        <v>8</v>
      </c>
      <c r="F6" s="13">
        <v>9</v>
      </c>
      <c r="G6" s="13">
        <v>1</v>
      </c>
      <c r="H6" s="15">
        <f t="shared" si="0"/>
        <v>8</v>
      </c>
      <c r="I6" s="51" t="s">
        <v>29</v>
      </c>
      <c r="J6" s="51"/>
      <c r="K6" s="51"/>
      <c r="L6" s="51"/>
      <c r="N6" s="61" t="s">
        <v>19</v>
      </c>
      <c r="O6" s="62"/>
      <c r="P6" s="62"/>
      <c r="Q6" s="63"/>
      <c r="S6" s="61" t="s">
        <v>30</v>
      </c>
      <c r="T6" s="62"/>
      <c r="U6" s="62"/>
      <c r="V6" s="63"/>
      <c r="X6" s="23"/>
      <c r="Y6" s="23"/>
    </row>
    <row r="7" spans="1:30" ht="19.5" customHeight="1">
      <c r="A7" s="5" t="s">
        <v>31</v>
      </c>
      <c r="B7" s="6" t="s">
        <v>32</v>
      </c>
      <c r="C7" s="6" t="s">
        <v>13</v>
      </c>
      <c r="D7" s="13">
        <v>4</v>
      </c>
      <c r="E7" s="13">
        <v>7</v>
      </c>
      <c r="F7" s="13">
        <v>5</v>
      </c>
      <c r="G7" s="13">
        <v>4</v>
      </c>
      <c r="H7" s="15">
        <f t="shared" si="0"/>
        <v>5.333333333333333</v>
      </c>
      <c r="I7" s="59" t="s">
        <v>33</v>
      </c>
      <c r="J7" s="59"/>
      <c r="K7" s="59"/>
      <c r="L7" s="60"/>
      <c r="N7" s="64" t="str">
        <f>CONCATENATE(A2, "-",B2)</f>
        <v>AL001-Amanda Almeida</v>
      </c>
      <c r="O7" s="65"/>
      <c r="P7" s="65"/>
      <c r="Q7" s="66"/>
      <c r="S7" s="64" t="str">
        <f>RIGHT(A2,3)</f>
        <v>001</v>
      </c>
      <c r="T7" s="65"/>
      <c r="U7" s="65"/>
      <c r="V7" s="66"/>
      <c r="X7" s="23"/>
      <c r="Y7" s="23"/>
    </row>
    <row r="8" spans="1:30" ht="19.5" customHeight="1">
      <c r="A8" s="5" t="s">
        <v>34</v>
      </c>
      <c r="B8" s="6" t="s">
        <v>35</v>
      </c>
      <c r="C8" s="6" t="s">
        <v>36</v>
      </c>
      <c r="D8" s="13">
        <v>10</v>
      </c>
      <c r="E8" s="13">
        <v>10</v>
      </c>
      <c r="F8" s="13">
        <v>9</v>
      </c>
      <c r="G8" s="13">
        <v>0</v>
      </c>
      <c r="H8" s="15">
        <f t="shared" si="0"/>
        <v>9.6666666666666661</v>
      </c>
      <c r="I8" s="85" t="s">
        <v>37</v>
      </c>
      <c r="J8" s="86"/>
      <c r="K8" s="86" t="s">
        <v>38</v>
      </c>
      <c r="L8" s="87"/>
      <c r="X8" s="23"/>
      <c r="Y8" s="23"/>
    </row>
    <row r="9" spans="1:30" ht="19.5" customHeight="1">
      <c r="A9" s="5" t="s">
        <v>39</v>
      </c>
      <c r="B9" s="6" t="s">
        <v>40</v>
      </c>
      <c r="C9" s="6" t="s">
        <v>13</v>
      </c>
      <c r="D9" s="13">
        <v>5</v>
      </c>
      <c r="E9" s="13">
        <v>7</v>
      </c>
      <c r="F9" s="13">
        <v>6</v>
      </c>
      <c r="G9" s="13">
        <v>1</v>
      </c>
      <c r="H9" s="15">
        <f t="shared" si="0"/>
        <v>6</v>
      </c>
      <c r="I9" s="88">
        <f>G2*4</f>
        <v>12</v>
      </c>
      <c r="J9" s="47"/>
      <c r="K9" s="47">
        <f>D2/2</f>
        <v>4</v>
      </c>
      <c r="L9" s="48"/>
      <c r="N9" s="73" t="s">
        <v>41</v>
      </c>
      <c r="O9" s="51"/>
      <c r="P9" s="51"/>
      <c r="Q9" s="51"/>
      <c r="S9" s="51" t="s">
        <v>42</v>
      </c>
      <c r="T9" s="51"/>
      <c r="U9" s="51"/>
      <c r="V9" s="51"/>
      <c r="X9" s="23"/>
      <c r="Y9" s="23"/>
    </row>
    <row r="10" spans="1:30" ht="19.5" customHeight="1">
      <c r="A10" s="5" t="s">
        <v>43</v>
      </c>
      <c r="B10" s="6" t="s">
        <v>44</v>
      </c>
      <c r="C10" s="6" t="s">
        <v>36</v>
      </c>
      <c r="D10" s="13">
        <v>7</v>
      </c>
      <c r="E10" s="13">
        <v>8</v>
      </c>
      <c r="F10" s="13">
        <v>9</v>
      </c>
      <c r="G10" s="13">
        <v>2</v>
      </c>
      <c r="H10" s="15">
        <f t="shared" si="0"/>
        <v>8</v>
      </c>
      <c r="X10" s="23"/>
      <c r="Y10" s="23"/>
    </row>
    <row r="11" spans="1:30" ht="19.5" customHeight="1">
      <c r="A11" s="7" t="s">
        <v>45</v>
      </c>
      <c r="B11" s="8" t="s">
        <v>46</v>
      </c>
      <c r="C11" s="8" t="s">
        <v>36</v>
      </c>
      <c r="D11" s="14">
        <v>8</v>
      </c>
      <c r="E11" s="14">
        <v>9</v>
      </c>
      <c r="F11" s="14">
        <v>10</v>
      </c>
      <c r="G11" s="14">
        <v>0</v>
      </c>
      <c r="H11" s="16">
        <f t="shared" si="0"/>
        <v>9</v>
      </c>
      <c r="I11" s="51" t="s">
        <v>47</v>
      </c>
      <c r="J11" s="51"/>
      <c r="K11" s="51"/>
      <c r="L11" s="51"/>
      <c r="N11" s="74" t="s">
        <v>48</v>
      </c>
      <c r="O11" s="75"/>
      <c r="P11" s="75"/>
      <c r="Q11" s="76"/>
      <c r="S11" s="67" t="s">
        <v>49</v>
      </c>
      <c r="T11" s="68"/>
      <c r="U11" s="68"/>
      <c r="V11" s="69"/>
      <c r="X11" s="23"/>
      <c r="Y11" s="23"/>
    </row>
    <row r="12" spans="1:30">
      <c r="N12" s="55">
        <f>SUMIF(G2:G11, "&gt;5",G2:G11)</f>
        <v>8</v>
      </c>
      <c r="O12" s="56"/>
      <c r="P12" s="56"/>
      <c r="Q12" s="57"/>
      <c r="S12" s="46" t="str">
        <f>MID(A2,3,3)</f>
        <v>001</v>
      </c>
      <c r="T12" s="47"/>
      <c r="U12" s="47"/>
      <c r="V12" s="48"/>
    </row>
    <row r="13" spans="1:30" ht="33" customHeight="1">
      <c r="I13" s="82" t="s">
        <v>50</v>
      </c>
      <c r="J13" s="83"/>
      <c r="K13" s="83" t="s">
        <v>51</v>
      </c>
      <c r="L13" s="84"/>
      <c r="N13" s="58" t="s">
        <v>25</v>
      </c>
      <c r="O13" s="59"/>
      <c r="P13" s="59"/>
      <c r="Q13" s="60"/>
    </row>
    <row r="14" spans="1:30" ht="33" customHeight="1">
      <c r="I14" s="46">
        <f>MAX(D2:D11)</f>
        <v>10</v>
      </c>
      <c r="J14" s="47"/>
      <c r="K14" s="47">
        <f>MIN(D2:D11)</f>
        <v>2</v>
      </c>
      <c r="L14" s="48"/>
      <c r="N14" s="77" t="s">
        <v>52</v>
      </c>
      <c r="O14" s="78"/>
      <c r="P14" s="78"/>
      <c r="Q14" s="79"/>
      <c r="S14" s="25" t="s">
        <v>53</v>
      </c>
      <c r="T14" s="26"/>
      <c r="U14" s="26"/>
      <c r="V14" s="27"/>
      <c r="X14" s="25" t="s">
        <v>54</v>
      </c>
      <c r="Y14" s="26"/>
      <c r="Z14" s="26"/>
      <c r="AA14" s="27"/>
    </row>
    <row r="15" spans="1:30">
      <c r="N15" s="9"/>
      <c r="O15" s="9"/>
      <c r="P15" s="9"/>
      <c r="Q15" s="9"/>
      <c r="S15" s="28" t="s">
        <v>55</v>
      </c>
      <c r="T15" s="29"/>
      <c r="U15" s="29"/>
      <c r="V15" s="30"/>
      <c r="X15" s="28" t="s">
        <v>56</v>
      </c>
      <c r="Y15" s="29"/>
      <c r="Z15" s="29"/>
      <c r="AA15" s="30"/>
    </row>
    <row r="16" spans="1:30">
      <c r="N16" s="64">
        <f>SUMIF(D2:D11,"&gt;7",D2:D11)</f>
        <v>35</v>
      </c>
      <c r="O16" s="65"/>
      <c r="P16" s="65"/>
      <c r="Q16" s="66"/>
      <c r="S16" s="31" t="s">
        <v>12</v>
      </c>
      <c r="T16" s="32"/>
      <c r="U16" s="32"/>
      <c r="V16" s="33"/>
      <c r="X16" s="31" t="s">
        <v>12</v>
      </c>
      <c r="Y16" s="32"/>
      <c r="Z16" s="32"/>
      <c r="AA16" s="33"/>
    </row>
    <row r="17" spans="9:27">
      <c r="S17" s="40" t="str">
        <f>VLOOKUP(S16,B2:C11,2,0)</f>
        <v>A</v>
      </c>
      <c r="T17" s="41"/>
      <c r="U17" s="41"/>
      <c r="V17" s="42"/>
      <c r="X17" s="34">
        <f>_xlfn.XLOOKUP(X16,B2:B11,H2:H11,"Não encontrado")</f>
        <v>6</v>
      </c>
      <c r="Y17" s="35"/>
      <c r="Z17" s="35"/>
      <c r="AA17" s="36"/>
    </row>
    <row r="18" spans="9:27" ht="15" customHeight="1">
      <c r="I18" s="51" t="s">
        <v>47</v>
      </c>
      <c r="J18" s="51"/>
      <c r="K18" s="51"/>
      <c r="L18" s="51"/>
      <c r="N18" s="51" t="s">
        <v>57</v>
      </c>
      <c r="O18" s="51"/>
      <c r="P18" s="51"/>
      <c r="Q18" s="51"/>
      <c r="T18" s="21"/>
      <c r="U18" s="21"/>
    </row>
    <row r="19" spans="9:27">
      <c r="S19" s="43" t="str">
        <f>IF(VLOOKUP(S16,B2:G11,6,FALSE)=0,"🟢 Sem faltas",
IF(VLOOKUP(S16,B2:G11,6,FALSE)&gt;=20,"🔴 Limite atingido de faltas",
IF(VLOOKUP(S16,B2:G11,6,FALSE)&gt;=15,"🟡 Próximo do limite de faltas","🟢 Dentro do limite de faltas")))</f>
        <v>🟢 Dentro do limite de faltas</v>
      </c>
      <c r="T19" s="44"/>
      <c r="U19" s="44"/>
      <c r="V19" s="45"/>
      <c r="X19" s="37" t="s">
        <v>58</v>
      </c>
      <c r="Y19" s="38"/>
      <c r="Z19" s="38"/>
      <c r="AA19" s="39"/>
    </row>
    <row r="20" spans="9:27" ht="33.75" customHeight="1">
      <c r="I20" s="74" t="s">
        <v>59</v>
      </c>
      <c r="J20" s="80"/>
      <c r="K20" s="81" t="s">
        <v>60</v>
      </c>
      <c r="L20" s="76"/>
      <c r="N20" s="70" t="str">
        <f>IF(H8&gt;=7,"Aprovado","Reprovado")</f>
        <v>Aprovado</v>
      </c>
      <c r="O20" s="71"/>
      <c r="P20" s="71"/>
      <c r="Q20" s="72"/>
      <c r="T20" s="22"/>
      <c r="U20" s="22"/>
    </row>
    <row r="21" spans="9:27" ht="33.75" customHeight="1">
      <c r="I21" s="46">
        <f>LARGE(E2:E11,2)</f>
        <v>9</v>
      </c>
      <c r="J21" s="47"/>
      <c r="K21" s="47">
        <f>SMALL(F2:F11,3)</f>
        <v>6</v>
      </c>
      <c r="L21" s="48"/>
      <c r="N21" s="10"/>
      <c r="O21" s="49" t="s">
        <v>61</v>
      </c>
      <c r="P21" s="50"/>
      <c r="Q21" s="10"/>
    </row>
    <row r="22" spans="9:27">
      <c r="N22" s="10"/>
      <c r="O22" s="17" t="s">
        <v>62</v>
      </c>
      <c r="P22" s="18" t="s">
        <v>63</v>
      </c>
      <c r="Q22" s="10"/>
    </row>
    <row r="23" spans="9:27" ht="18.75">
      <c r="I23" s="51" t="s">
        <v>64</v>
      </c>
      <c r="J23" s="51"/>
      <c r="K23" s="51"/>
      <c r="L23" s="51"/>
      <c r="N23" s="11"/>
      <c r="O23" s="19" t="s">
        <v>65</v>
      </c>
      <c r="P23" s="20" t="s">
        <v>66</v>
      </c>
      <c r="Q23" s="11"/>
    </row>
    <row r="24" spans="9:27">
      <c r="N24" s="10"/>
      <c r="O24" s="10"/>
      <c r="P24" s="10"/>
      <c r="Q24" s="10"/>
    </row>
    <row r="25" spans="9:27">
      <c r="I25" s="52" t="s">
        <v>7</v>
      </c>
      <c r="J25" s="53"/>
      <c r="K25" s="53"/>
      <c r="L25" s="54"/>
    </row>
    <row r="26" spans="9:27">
      <c r="I26" s="64">
        <f>AVERAGE(D2:F2)</f>
        <v>6</v>
      </c>
      <c r="J26" s="65"/>
      <c r="K26" s="65"/>
      <c r="L26" s="66"/>
    </row>
  </sheetData>
  <mergeCells count="58">
    <mergeCell ref="I1:L1"/>
    <mergeCell ref="I3:J3"/>
    <mergeCell ref="K3:L3"/>
    <mergeCell ref="I4:J4"/>
    <mergeCell ref="K4:L4"/>
    <mergeCell ref="I7:L7"/>
    <mergeCell ref="I6:L6"/>
    <mergeCell ref="I8:J8"/>
    <mergeCell ref="K8:L8"/>
    <mergeCell ref="I9:J9"/>
    <mergeCell ref="K9:L9"/>
    <mergeCell ref="I11:L11"/>
    <mergeCell ref="I13:J13"/>
    <mergeCell ref="K13:L13"/>
    <mergeCell ref="I14:J14"/>
    <mergeCell ref="K14:L14"/>
    <mergeCell ref="I18:L18"/>
    <mergeCell ref="I25:L25"/>
    <mergeCell ref="I26:L26"/>
    <mergeCell ref="I20:J20"/>
    <mergeCell ref="K20:L20"/>
    <mergeCell ref="I21:J21"/>
    <mergeCell ref="K21:L21"/>
    <mergeCell ref="I23:L23"/>
    <mergeCell ref="N14:Q14"/>
    <mergeCell ref="N16:Q16"/>
    <mergeCell ref="N1:Q1"/>
    <mergeCell ref="N3:Q3"/>
    <mergeCell ref="N4:Q4"/>
    <mergeCell ref="N6:Q6"/>
    <mergeCell ref="N7:Q7"/>
    <mergeCell ref="N5:Q5"/>
    <mergeCell ref="S12:V12"/>
    <mergeCell ref="O21:P21"/>
    <mergeCell ref="S1:V1"/>
    <mergeCell ref="S3:V3"/>
    <mergeCell ref="S4:V4"/>
    <mergeCell ref="S5:V5"/>
    <mergeCell ref="S6:V6"/>
    <mergeCell ref="S7:V7"/>
    <mergeCell ref="S9:V9"/>
    <mergeCell ref="S11:V11"/>
    <mergeCell ref="N18:Q18"/>
    <mergeCell ref="N20:Q20"/>
    <mergeCell ref="N9:Q9"/>
    <mergeCell ref="N11:Q11"/>
    <mergeCell ref="N12:Q12"/>
    <mergeCell ref="N13:Q13"/>
    <mergeCell ref="S17:V17"/>
    <mergeCell ref="S15:V15"/>
    <mergeCell ref="S19:V19"/>
    <mergeCell ref="S14:V14"/>
    <mergeCell ref="S16:V16"/>
    <mergeCell ref="X14:AA14"/>
    <mergeCell ref="X15:AA15"/>
    <mergeCell ref="X16:AA16"/>
    <mergeCell ref="X17:AA17"/>
    <mergeCell ref="X19:AA19"/>
  </mergeCells>
  <dataValidations count="2">
    <dataValidation type="list" allowBlank="1" showInputMessage="1" showErrorMessage="1" sqref="AA2:AD2 S16:V16 X16:AA16" xr:uid="{F8F34BF4-1B0D-455A-85CE-37D2C51BDBAF}">
      <formula1>$B$2:$B$11</formula1>
    </dataValidation>
    <dataValidation allowBlank="1" showInputMessage="1" showErrorMessage="1" sqref="S15:V15 X15:AA15" xr:uid="{E3009067-1B7E-4F67-B2CF-979622D9A058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C7450A869AAA428353EF9110662BE3" ma:contentTypeVersion="10" ma:contentTypeDescription="Crie um novo documento." ma:contentTypeScope="" ma:versionID="7eed160e0e13768f71ab7367e754c29e">
  <xsd:schema xmlns:xsd="http://www.w3.org/2001/XMLSchema" xmlns:xs="http://www.w3.org/2001/XMLSchema" xmlns:p="http://schemas.microsoft.com/office/2006/metadata/properties" xmlns:ns2="7972644b-e11e-455d-be70-2defe0570128" xmlns:ns3="69bd6adf-bfdd-44e3-b1ed-07f72d261028" targetNamespace="http://schemas.microsoft.com/office/2006/metadata/properties" ma:root="true" ma:fieldsID="66b756e7c32f5cf60670eb6506ec8749" ns2:_="" ns3:_="">
    <xsd:import namespace="7972644b-e11e-455d-be70-2defe0570128"/>
    <xsd:import namespace="69bd6adf-bfdd-44e3-b1ed-07f72d261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2644b-e11e-455d-be70-2defe0570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585a4dd-1a39-407d-a894-0767770456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6adf-bfdd-44e3-b1ed-07f72d2610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ebdfc10-9c40-435d-b8ec-cf3dff276cf4}" ma:internalName="TaxCatchAll" ma:showField="CatchAllData" ma:web="69bd6adf-bfdd-44e3-b1ed-07f72d261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bd6adf-bfdd-44e3-b1ed-07f72d261028" xsi:nil="true"/>
    <lcf76f155ced4ddcb4097134ff3c332f xmlns="7972644b-e11e-455d-be70-2defe05701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360D21-EF96-44F3-BF7A-9633ACB7BC19}"/>
</file>

<file path=customXml/itemProps2.xml><?xml version="1.0" encoding="utf-8"?>
<ds:datastoreItem xmlns:ds="http://schemas.openxmlformats.org/officeDocument/2006/customXml" ds:itemID="{814AF3A0-2F2B-45FF-89E4-1F17BF044DC7}"/>
</file>

<file path=customXml/itemProps3.xml><?xml version="1.0" encoding="utf-8"?>
<ds:datastoreItem xmlns:ds="http://schemas.openxmlformats.org/officeDocument/2006/customXml" ds:itemID="{3F84C731-0565-4370-9CD5-5F64256BF4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2026-06-02T16:23:16Z</dcterms:created>
  <dcterms:modified xsi:type="dcterms:W3CDTF">2026-06-03T21:40:29Z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0x0101007FC7450A869AAA428353EF9110662BE3</vt:lpwstr>
  </property>
</Properties>
</file>